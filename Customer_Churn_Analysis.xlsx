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work\"/>
    </mc:Choice>
  </mc:AlternateContent>
  <xr:revisionPtr revIDLastSave="0" documentId="13_ncr:1_{0584F730-3613-4D79-A92D-3D2CB1AE121C}" xr6:coauthVersionLast="47" xr6:coauthVersionMax="47" xr10:uidLastSave="{00000000-0000-0000-0000-000000000000}"/>
  <bookViews>
    <workbookView xWindow="-120" yWindow="-120" windowWidth="29040" windowHeight="15720" tabRatio="751" xr2:uid="{78937464-97F1-4CFD-9FDE-0D557BDFBFD2}"/>
  </bookViews>
  <sheets>
    <sheet name="Dashboard" sheetId="7" r:id="rId1"/>
    <sheet name="Analysis" sheetId="9" r:id="rId2"/>
    <sheet name="Pivott" sheetId="8" r:id="rId3"/>
    <sheet name="churn_dataset" sheetId="1" r:id="rId4"/>
    <sheet name="churn_subscription type" sheetId="2" r:id="rId5"/>
    <sheet name="Churn_tenure" sheetId="4" r:id="rId6"/>
    <sheet name="churn_complaints" sheetId="5" r:id="rId7"/>
  </sheets>
  <definedNames>
    <definedName name="_xlnm._FilterDatabase" localSheetId="6" hidden="1">churn_complaints!#REF!</definedName>
    <definedName name="_xlnm._FilterDatabase" localSheetId="3" hidden="1">churn_dataset!$A$1:$G$11</definedName>
    <definedName name="_xlnm._FilterDatabase" localSheetId="4" hidden="1">'churn_subscription type'!#REF!</definedName>
    <definedName name="_xlnm._FilterDatabase" localSheetId="5" hidden="1">Churn_tenure!#REF!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5" l="1"/>
  <c r="H16" i="5"/>
  <c r="I15" i="5"/>
  <c r="I16" i="5" s="1"/>
  <c r="J16" i="5" s="1"/>
  <c r="J14" i="5"/>
  <c r="I14" i="5"/>
  <c r="H14" i="5"/>
  <c r="I13" i="5"/>
  <c r="I12" i="5"/>
  <c r="I11" i="5"/>
  <c r="J11" i="5" s="1"/>
  <c r="H11" i="5"/>
  <c r="I10" i="5"/>
  <c r="I9" i="5"/>
  <c r="H8" i="5"/>
  <c r="I7" i="5"/>
  <c r="I6" i="5"/>
  <c r="I8" i="5" s="1"/>
  <c r="J8" i="5" s="1"/>
  <c r="J5" i="5"/>
  <c r="I5" i="5"/>
  <c r="H5" i="5"/>
  <c r="H17" i="5" s="1"/>
  <c r="I4" i="5"/>
  <c r="I3" i="5"/>
  <c r="I2" i="5"/>
  <c r="D22" i="4"/>
  <c r="D21" i="4"/>
  <c r="D20" i="4"/>
  <c r="D19" i="4"/>
  <c r="I11" i="4"/>
  <c r="D11" i="4"/>
  <c r="I10" i="4"/>
  <c r="D10" i="4"/>
  <c r="I9" i="4"/>
  <c r="D9" i="4"/>
  <c r="I8" i="4"/>
  <c r="D8" i="4"/>
  <c r="I7" i="4"/>
  <c r="D7" i="4"/>
  <c r="I6" i="4"/>
  <c r="D6" i="4"/>
  <c r="I5" i="4"/>
  <c r="D5" i="4"/>
  <c r="I4" i="4"/>
  <c r="D4" i="4"/>
  <c r="I3" i="4"/>
  <c r="D3" i="4"/>
  <c r="I2" i="4"/>
  <c r="D2" i="4"/>
  <c r="B33" i="2"/>
  <c r="B32" i="2"/>
  <c r="B31" i="2"/>
  <c r="B30" i="2"/>
  <c r="B25" i="2"/>
  <c r="B24" i="2"/>
  <c r="B18" i="2"/>
  <c r="J14" i="2"/>
  <c r="I14" i="2"/>
  <c r="H14" i="2"/>
  <c r="I13" i="2"/>
  <c r="I12" i="2"/>
  <c r="I11" i="2"/>
  <c r="I10" i="2"/>
  <c r="J10" i="2" s="1"/>
  <c r="H10" i="2"/>
  <c r="H15" i="2" s="1"/>
  <c r="I9" i="2"/>
  <c r="I8" i="2"/>
  <c r="H7" i="2"/>
  <c r="I6" i="2"/>
  <c r="I5" i="2"/>
  <c r="I4" i="2"/>
  <c r="I3" i="2"/>
  <c r="I2" i="2"/>
  <c r="I7" i="2" s="1"/>
  <c r="J7" i="2" s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I17" i="5" l="1"/>
  <c r="I15" i="2"/>
  <c r="J15" i="2" s="1"/>
</calcChain>
</file>

<file path=xl/sharedStrings.xml><?xml version="1.0" encoding="utf-8"?>
<sst xmlns="http://schemas.openxmlformats.org/spreadsheetml/2006/main" count="337" uniqueCount="120">
  <si>
    <t>CustomerID</t>
  </si>
  <si>
    <t>SubscriptionType</t>
  </si>
  <si>
    <t>TenureMonths</t>
  </si>
  <si>
    <t>MonthlyCharges</t>
  </si>
  <si>
    <t>TotalComplaintsLast3Months</t>
  </si>
  <si>
    <t>WasRetentionOfferGiven</t>
  </si>
  <si>
    <t>Churn</t>
  </si>
  <si>
    <t>Monthly</t>
  </si>
  <si>
    <t>No</t>
  </si>
  <si>
    <t>Yes</t>
  </si>
  <si>
    <t>Yearly</t>
  </si>
  <si>
    <t>Quarterly</t>
  </si>
  <si>
    <t>Churn_num</t>
  </si>
  <si>
    <t>Non-churn customer (No/0)</t>
  </si>
  <si>
    <t xml:space="preserve">Total number of customers (count of customerID ) </t>
  </si>
  <si>
    <t xml:space="preserve">Churn Rate </t>
  </si>
  <si>
    <t>(number of churn customer/total number of customer)*100</t>
  </si>
  <si>
    <t xml:space="preserve">Number of Monthly Customers </t>
  </si>
  <si>
    <t xml:space="preserve">Number of Quarterly Customers </t>
  </si>
  <si>
    <t xml:space="preserve">Number of Yearly Customers </t>
  </si>
  <si>
    <t>Total Churn Rate</t>
  </si>
  <si>
    <t>Total Churn customer (Yes/1)</t>
  </si>
  <si>
    <t>Monthly churn customers</t>
  </si>
  <si>
    <t>Quartely churn customers</t>
  </si>
  <si>
    <t>Yearly churn customers</t>
  </si>
  <si>
    <t>Monthly Churn Rate</t>
  </si>
  <si>
    <t>Quarterly Churn Rate</t>
  </si>
  <si>
    <t>Yearly Churn Rate</t>
  </si>
  <si>
    <t>Monthly Total</t>
  </si>
  <si>
    <t>Yearly Total</t>
  </si>
  <si>
    <t>Quarterly Total</t>
  </si>
  <si>
    <t>Grand Total</t>
  </si>
  <si>
    <t>customer_num</t>
  </si>
  <si>
    <t>churn_rate</t>
  </si>
  <si>
    <t>3 Total</t>
  </si>
  <si>
    <t>1 Total</t>
  </si>
  <si>
    <t>4 Total</t>
  </si>
  <si>
    <t>2 Total</t>
  </si>
  <si>
    <t>0 Total</t>
  </si>
  <si>
    <t>0 complaints</t>
  </si>
  <si>
    <t>1 complaints</t>
  </si>
  <si>
    <t>2 complaints</t>
  </si>
  <si>
    <t>3 complaints</t>
  </si>
  <si>
    <t>4 complaints</t>
  </si>
  <si>
    <t>Tenure_group</t>
  </si>
  <si>
    <t>Row Labels</t>
  </si>
  <si>
    <t>0-6 Months</t>
  </si>
  <si>
    <t>13+ Months</t>
  </si>
  <si>
    <t>7-12 Months</t>
  </si>
  <si>
    <t>churn_num</t>
  </si>
  <si>
    <t>Churn_rate</t>
  </si>
  <si>
    <t>Total Customers</t>
  </si>
  <si>
    <t>Total Churn</t>
  </si>
  <si>
    <t>Total Customer</t>
  </si>
  <si>
    <t>TenureGroup</t>
  </si>
  <si>
    <t>19-24</t>
  </si>
  <si>
    <t>31-36</t>
  </si>
  <si>
    <t>43-48</t>
  </si>
  <si>
    <t>7-12</t>
  </si>
  <si>
    <t>1-6</t>
  </si>
  <si>
    <t>10-14</t>
  </si>
  <si>
    <t>15-19</t>
  </si>
  <si>
    <t>20-24</t>
  </si>
  <si>
    <t>25-30</t>
  </si>
  <si>
    <t>Tenure in Years</t>
  </si>
  <si>
    <t>Total Counter</t>
  </si>
  <si>
    <t>Churn counter</t>
  </si>
  <si>
    <t>Average of MonthlyCharges</t>
  </si>
  <si>
    <t>Subscription Type</t>
  </si>
  <si>
    <t xml:space="preserve"> ChurnRate</t>
  </si>
  <si>
    <t>Retention Offer</t>
  </si>
  <si>
    <t>TotalComplaints</t>
  </si>
  <si>
    <t>Summary</t>
  </si>
  <si>
    <t>Telecoms Customer Churn Analysis</t>
  </si>
  <si>
    <t>TenureMonths in group</t>
  </si>
  <si>
    <t>*</t>
  </si>
  <si>
    <t>Insights</t>
  </si>
  <si>
    <t>complimentary monthly charge rate</t>
  </si>
  <si>
    <t>Monthly customers have a 60% churn rate, above the overall churn rate of 50%.</t>
  </si>
  <si>
    <t>Quarterly customers have a 100% churn rate (2 of 2 customers), the highest observed rate in the sample.</t>
  </si>
  <si>
    <t>Yearly customers have a 0% churn rate (0 of 3 customers).</t>
  </si>
  <si>
    <t>Subscription type shows a strong association with churn in this sample, with quarterly and monthly customers showing higher observed churn than yearly customers.</t>
  </si>
  <si>
    <t>Yearly customers also have lower average monthly charges, although this dataset is too small to determine whether pricing contributes independently to churn.</t>
  </si>
  <si>
    <t>Customers with 0–12 months of tenure have higher observed churn than customers with 13+ months of tenure.</t>
  </si>
  <si>
    <t>The 7–12 month group has a 100% churn rate (2 of 2), while the 13+ month group has 0% churn (0 of 3).</t>
  </si>
  <si>
    <t>Customers with shorter tenure have higher observed churn rates in this sample.</t>
  </si>
  <si>
    <t>Customers with 13+ months of tenure have lower average monthly charges and 0% observed churn in this sample.</t>
  </si>
  <si>
    <t>Complaint count does not show a consistent or monotonic relationship with churn rate in this sample.</t>
  </si>
  <si>
    <t>Monthly charges also do not show a consistent pattern across complaint groups that clearly explains churn.</t>
  </si>
  <si>
    <t>Monthly charges do not show a clear monotonic relationship with churn in this sample.</t>
  </si>
  <si>
    <t>Customers who did not receive a retention offer had a 71.4% churn rate (5 of 7), compared with 0% (0 of 3) among customers who received an offer.</t>
  </si>
  <si>
    <t>The result suggests a strong association between retention-offer status and churn in this sample, but it does not establish that the offer caused the lower churn rate.</t>
  </si>
  <si>
    <t>Customers Count</t>
  </si>
  <si>
    <t>Churn Rate per Subscription Type</t>
  </si>
  <si>
    <t>Churn Rate  per Complaints</t>
  </si>
  <si>
    <t>Churn Rate per MonthlyCharge</t>
  </si>
  <si>
    <t xml:space="preserve"> Churn Rate per Retention Offer</t>
  </si>
  <si>
    <t>Customer Count</t>
  </si>
  <si>
    <t>Churn Rate</t>
  </si>
  <si>
    <t>Telecoms Customer Churn Case Study</t>
  </si>
  <si>
    <t xml:space="preserve">CUSTOMER CHURN ANALYSIS  </t>
  </si>
  <si>
    <t>Churn Rate per TenureGroup</t>
  </si>
  <si>
    <t>INSIGHTS</t>
  </si>
  <si>
    <t>• Tenure and subscription type show the strongest observed churn differences in this sample.</t>
  </si>
  <si>
    <t xml:space="preserve">• 7–12 month customers: 100% churn </t>
  </si>
  <si>
    <t xml:space="preserve">• Quarterly customers: 100% churn </t>
  </si>
  <si>
    <t>• Customers receiving retention offers: 0% observed churn</t>
  </si>
  <si>
    <t>RECOMMENDATIONS</t>
  </si>
  <si>
    <t>1. Focus early-tenure retention activity on customers within their first 12 months.</t>
  </si>
  <si>
    <t xml:space="preserve"> 2. Review the value proposition and retention strategy for monthly and quarterly customers.</t>
  </si>
  <si>
    <t>METHODOLOGY</t>
  </si>
  <si>
    <t>Customer-level data → segmentation → churn-rate calculation → comparison with overall churn → findings → recommendations → limitations.</t>
  </si>
  <si>
    <t xml:space="preserve">The analysis began by reviewing the customer-level dataset and converting the Yes/No churn field into a binary churn indicator for calculation purposes. </t>
  </si>
  <si>
    <t>Customers were grouped by subscription type, tenure group, complaint count, monthly charges and retention-offer status.</t>
  </si>
  <si>
    <t xml:space="preserve"> Churn rate was calculated as the number of churned customers divided by the total number of customers in each segment. </t>
  </si>
  <si>
    <t xml:space="preserve">Segment churn rates were then compared with the overall churn rate of 50% to identify the strongest observed patterns. </t>
  </si>
  <si>
    <t xml:space="preserve">These findings were used to develop targeted recommendations. Because the dataset contains only 10 customers, the findings should be treated as </t>
  </si>
  <si>
    <t>directional and not as proof of causation or representative population-level behaviour.</t>
  </si>
  <si>
    <t>The dataset contains only 10 customers, so findings are directional and should be validated using a larger customer population.</t>
  </si>
  <si>
    <t>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</si>
</sst>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₦-46A]#,##0"/>
    <numFmt numFmtId="168" formatCode="[$₦-46A]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12"/>
      <color theme="1"/>
      <name val="Calibri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42" applyNumberFormat="1" applyFont="1"/>
    <xf numFmtId="0" fontId="0" fillId="0" borderId="0" xfId="0" applyFill="1"/>
    <xf numFmtId="0" fontId="0" fillId="33" borderId="0" xfId="0" applyFill="1"/>
    <xf numFmtId="0" fontId="0" fillId="0" borderId="0" xfId="0" applyNumberFormat="1" applyFill="1"/>
    <xf numFmtId="9" fontId="0" fillId="0" borderId="0" xfId="0" applyNumberFormat="1"/>
    <xf numFmtId="2" fontId="0" fillId="0" borderId="0" xfId="0" applyNumberFormat="1"/>
    <xf numFmtId="0" fontId="19" fillId="0" borderId="0" xfId="0" applyFont="1"/>
    <xf numFmtId="0" fontId="16" fillId="34" borderId="0" xfId="0" applyFont="1" applyFill="1"/>
    <xf numFmtId="0" fontId="20" fillId="0" borderId="0" xfId="0" applyFont="1"/>
    <xf numFmtId="1" fontId="0" fillId="0" borderId="0" xfId="0" applyNumberFormat="1"/>
    <xf numFmtId="0" fontId="21" fillId="0" borderId="0" xfId="0" applyFont="1" applyAlignment="1">
      <alignment horizontal="left" vertical="center" indent="1"/>
    </xf>
    <xf numFmtId="0" fontId="17" fillId="35" borderId="0" xfId="0" applyFont="1" applyFill="1"/>
    <xf numFmtId="164" fontId="0" fillId="0" borderId="0" xfId="0" applyNumberFormat="1" applyAlignment="1">
      <alignment horizontal="left"/>
    </xf>
    <xf numFmtId="0" fontId="13" fillId="36" borderId="10" xfId="0" applyFont="1" applyFill="1" applyBorder="1"/>
    <xf numFmtId="0" fontId="17" fillId="36" borderId="10" xfId="0" applyFont="1" applyFill="1" applyBorder="1"/>
    <xf numFmtId="168" fontId="0" fillId="0" borderId="0" xfId="0" applyNumberForma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/>
    <xf numFmtId="0" fontId="27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[$₦-46A]#,##0"/>
    </dxf>
    <dxf>
      <numFmt numFmtId="0" formatCode="General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2" formatCode="0.00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2" formatCode="0.00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2" formatCode="0.00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2" formatCode="0.00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" formatCode="0.00"/>
    </dxf>
    <dxf>
      <numFmt numFmtId="13" formatCode="0%"/>
    </dxf>
    <dxf>
      <numFmt numFmtId="14" formatCode="0.00%"/>
    </dxf>
    <dxf>
      <numFmt numFmtId="14" formatCode="0.00%"/>
    </dxf>
    <dxf>
      <font>
        <b/>
        <i val="0"/>
        <sz val="12"/>
        <color theme="0" tint="-0.34998626667073579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1" defaultTableStyle="TableStyleMedium2" defaultPivotStyle="PivotStyleLight16">
    <tableStyle name="Slicer Style 1" pivot="0" table="0" count="5" xr9:uid="{97011819-D6B8-4A62-82C7-D82D0A6281D6}">
      <tableStyleElement type="wholeTable" dxfId="38"/>
      <tableStyleElement type="headerRow" dxfId="37"/>
    </tableStyle>
  </tableStyles>
  <extLst>
    <ext xmlns:x14="http://schemas.microsoft.com/office/spreadsheetml/2009/9/main" uri="{46F421CA-312F-682f-3DD2-61675219B42D}">
      <x14:dxfs count="3">
        <dxf>
          <fill>
            <gradientFill degree="90">
              <stop position="0">
                <color theme="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theme="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theme="0"/>
              </stop>
              <stop position="1">
                <color rgb="FFFFC000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Analysis!$B$8</c:f>
          <c:strCache>
            <c:ptCount val="1"/>
            <c:pt idx="0">
              <c:v>Churn Rate per Subscription Type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Analysis!$D$10</c:f>
              <c:strCache>
                <c:ptCount val="1"/>
                <c:pt idx="0">
                  <c:v> ChurnRate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Analysis!$B$11:$B$13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Yearly</c:v>
                </c:pt>
              </c:strCache>
            </c:strRef>
          </c:cat>
          <c:val>
            <c:numRef>
              <c:f>Analysis!$D$11:$D$13</c:f>
              <c:numCache>
                <c:formatCode>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D-4F57-93D0-68A1B296D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553424"/>
        <c:axId val="1977555344"/>
      </c:barChart>
      <c:catAx>
        <c:axId val="19775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55344"/>
        <c:crosses val="autoZero"/>
        <c:auto val="1"/>
        <c:lblAlgn val="ctr"/>
        <c:lblOffset val="100"/>
        <c:noMultiLvlLbl val="0"/>
      </c:catAx>
      <c:valAx>
        <c:axId val="19775553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5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Analysis!$B$27</c:f>
          <c:strCache>
            <c:ptCount val="1"/>
            <c:pt idx="0">
              <c:v>Churn Rate per TenureGroup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Analysis!$B$30:$B$32</c:f>
              <c:strCache>
                <c:ptCount val="3"/>
                <c:pt idx="0">
                  <c:v>0-6 Months</c:v>
                </c:pt>
                <c:pt idx="1">
                  <c:v>7-12 Months</c:v>
                </c:pt>
                <c:pt idx="2">
                  <c:v>13+ Months</c:v>
                </c:pt>
              </c:strCache>
            </c:strRef>
          </c:cat>
          <c:val>
            <c:numRef>
              <c:f>Analysis!$D$30:$D$32</c:f>
              <c:numCache>
                <c:formatCode>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3-430F-B7AE-C850A4A9E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505360"/>
        <c:axId val="1732505840"/>
      </c:barChart>
      <c:catAx>
        <c:axId val="17325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05840"/>
        <c:crosses val="autoZero"/>
        <c:auto val="1"/>
        <c:lblAlgn val="ctr"/>
        <c:lblOffset val="100"/>
        <c:noMultiLvlLbl val="0"/>
      </c:catAx>
      <c:valAx>
        <c:axId val="17325058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Analysis!$B$86</c:f>
          <c:strCache>
            <c:ptCount val="1"/>
            <c:pt idx="0">
              <c:v> Churn Rate per Retention Offer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Analysis!$D$88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Analysis!$B$89:$B$90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Analysis!$D$89:$D$90</c:f>
              <c:numCache>
                <c:formatCode>0%</c:formatCode>
                <c:ptCount val="2"/>
                <c:pt idx="0">
                  <c:v>0.7142857142857143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1-475C-9AEA-EAC4EB634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944576"/>
        <c:axId val="1709934016"/>
      </c:barChart>
      <c:catAx>
        <c:axId val="170994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34016"/>
        <c:crosses val="autoZero"/>
        <c:auto val="1"/>
        <c:lblAlgn val="ctr"/>
        <c:lblOffset val="100"/>
        <c:noMultiLvlLbl val="0"/>
      </c:catAx>
      <c:valAx>
        <c:axId val="17099340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4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Analysis!$B$48</c:f>
          <c:strCache>
            <c:ptCount val="1"/>
            <c:pt idx="0">
              <c:v>Churn Rate  per Complaints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Analysis!$E$50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Analysis!$B$51:$B$55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Analysis!$E$51:$E$55</c:f>
              <c:numCache>
                <c:formatCode>[$₦-46A]#,##0.00</c:formatCode>
                <c:ptCount val="5"/>
                <c:pt idx="0">
                  <c:v>12.333333333333334</c:v>
                </c:pt>
                <c:pt idx="1">
                  <c:v>24</c:v>
                </c:pt>
                <c:pt idx="2">
                  <c:v>24</c:v>
                </c:pt>
                <c:pt idx="3">
                  <c:v>27.5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2-468A-BA2F-8C9FAA20B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5605280"/>
        <c:axId val="1705604800"/>
      </c:barChart>
      <c:lineChart>
        <c:grouping val="standar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Churn Rate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132-468A-BA2F-8C9FAA20BC9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132-468A-BA2F-8C9FAA20BC94}"/>
                </c:ext>
              </c:extLst>
            </c:dLbl>
            <c:dLbl>
              <c:idx val="2"/>
              <c:layout>
                <c:manualLayout>
                  <c:x val="-4.4904171151267963E-2"/>
                  <c:y val="6.998400661233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32-468A-BA2F-8C9FAA20BC9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132-468A-BA2F-8C9FAA20BC94}"/>
                </c:ext>
              </c:extLst>
            </c:dLbl>
            <c:dLbl>
              <c:idx val="4"/>
              <c:layout>
                <c:manualLayout>
                  <c:x val="-4.2506089616495782E-2"/>
                  <c:y val="2.75886771755897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32-468A-BA2F-8C9FAA20B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Analysis!$B$51:$B$55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Analysis!$D$51:$D$55</c:f>
              <c:numCache>
                <c:formatCode>0%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32-468A-BA2F-8C9FAA20B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61504"/>
        <c:axId val="1705560064"/>
      </c:lineChart>
      <c:catAx>
        <c:axId val="17055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0064"/>
        <c:crosses val="autoZero"/>
        <c:auto val="1"/>
        <c:lblAlgn val="ctr"/>
        <c:lblOffset val="100"/>
        <c:noMultiLvlLbl val="0"/>
      </c:catAx>
      <c:valAx>
        <c:axId val="17055600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1504"/>
        <c:crosses val="autoZero"/>
        <c:crossBetween val="between"/>
      </c:valAx>
      <c:valAx>
        <c:axId val="1705604800"/>
        <c:scaling>
          <c:orientation val="minMax"/>
        </c:scaling>
        <c:delete val="0"/>
        <c:axPos val="r"/>
        <c:numFmt formatCode="[$₦-46A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05280"/>
        <c:crosses val="max"/>
        <c:crossBetween val="between"/>
      </c:valAx>
      <c:catAx>
        <c:axId val="170560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5604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Analysis!$B$48</c:f>
          <c:strCache>
            <c:ptCount val="1"/>
            <c:pt idx="0">
              <c:v>Churn Rate  per Complaints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Analysis!$E$50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Analysis!$B$51:$B$55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Analysis!$E$51:$E$55</c:f>
              <c:numCache>
                <c:formatCode>[$₦-46A]#,##0.00</c:formatCode>
                <c:ptCount val="5"/>
                <c:pt idx="0">
                  <c:v>12.333333333333334</c:v>
                </c:pt>
                <c:pt idx="1">
                  <c:v>24</c:v>
                </c:pt>
                <c:pt idx="2">
                  <c:v>24</c:v>
                </c:pt>
                <c:pt idx="3">
                  <c:v>27.5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71-48DF-8C38-5028BA0A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5605280"/>
        <c:axId val="1705604800"/>
      </c:barChart>
      <c:lineChart>
        <c:grouping val="standard"/>
        <c:varyColors val="0"/>
        <c:ser>
          <c:idx val="0"/>
          <c:order val="0"/>
          <c:tx>
            <c:strRef>
              <c:f>Analysis!$D$50</c:f>
              <c:strCache>
                <c:ptCount val="1"/>
                <c:pt idx="0">
                  <c:v>Churn Rate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C71-48DF-8C38-5028BA0A0C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C71-48DF-8C38-5028BA0A0CA8}"/>
                </c:ext>
              </c:extLst>
            </c:dLbl>
            <c:dLbl>
              <c:idx val="2"/>
              <c:layout>
                <c:manualLayout>
                  <c:x val="-4.4904171151267963E-2"/>
                  <c:y val="6.998400661233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71-48DF-8C38-5028BA0A0CA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C71-48DF-8C38-5028BA0A0CA8}"/>
                </c:ext>
              </c:extLst>
            </c:dLbl>
            <c:dLbl>
              <c:idx val="4"/>
              <c:layout>
                <c:manualLayout>
                  <c:x val="-4.2506089616495782E-2"/>
                  <c:y val="2.75886771755897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71-48DF-8C38-5028BA0A0C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Analysis!$B$51:$B$55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Analysis!$D$51:$D$55</c:f>
              <c:numCache>
                <c:formatCode>0%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1-48DF-8C38-5028BA0A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61504"/>
        <c:axId val="1705560064"/>
      </c:lineChart>
      <c:catAx>
        <c:axId val="17055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0064"/>
        <c:crosses val="autoZero"/>
        <c:auto val="1"/>
        <c:lblAlgn val="ctr"/>
        <c:lblOffset val="100"/>
        <c:noMultiLvlLbl val="0"/>
      </c:catAx>
      <c:valAx>
        <c:axId val="170556006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61504"/>
        <c:crosses val="autoZero"/>
        <c:crossBetween val="between"/>
      </c:valAx>
      <c:valAx>
        <c:axId val="1705604800"/>
        <c:scaling>
          <c:orientation val="minMax"/>
        </c:scaling>
        <c:delete val="0"/>
        <c:axPos val="r"/>
        <c:numFmt formatCode="[$₦-46A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05280"/>
        <c:crosses val="max"/>
        <c:crossBetween val="between"/>
      </c:valAx>
      <c:catAx>
        <c:axId val="1705605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56048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Analysis!$B$68</c:f>
          <c:strCache>
            <c:ptCount val="1"/>
            <c:pt idx="0">
              <c:v>Churn Rate per MonthlyCharge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Analysis!$D$70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Analysis!$B$71:$B$74</c:f>
              <c:strCache>
                <c:ptCount val="4"/>
                <c:pt idx="0">
                  <c:v>10-14</c:v>
                </c:pt>
                <c:pt idx="1">
                  <c:v>15-19</c:v>
                </c:pt>
                <c:pt idx="2">
                  <c:v>20-24</c:v>
                </c:pt>
                <c:pt idx="3">
                  <c:v>25-30</c:v>
                </c:pt>
              </c:strCache>
            </c:strRef>
          </c:cat>
          <c:val>
            <c:numRef>
              <c:f>Analysis!$D$71:$D$74</c:f>
              <c:numCache>
                <c:formatCode>0%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6-4158-88F0-9236D9B2E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571152"/>
        <c:axId val="1974572592"/>
      </c:barChart>
      <c:catAx>
        <c:axId val="197457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72592"/>
        <c:crosses val="autoZero"/>
        <c:auto val="1"/>
        <c:lblAlgn val="ctr"/>
        <c:lblOffset val="100"/>
        <c:noMultiLvlLbl val="0"/>
      </c:catAx>
      <c:valAx>
        <c:axId val="197457259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7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Analysis!$B$8</c:f>
          <c:strCache>
            <c:ptCount val="1"/>
            <c:pt idx="0">
              <c:v>Churn Rate per Subscription Type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Analysis!$D$10</c:f>
              <c:strCache>
                <c:ptCount val="1"/>
                <c:pt idx="0">
                  <c:v> ChurnRate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Analysis!$B$11:$B$13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Yearly</c:v>
                </c:pt>
              </c:strCache>
            </c:strRef>
          </c:cat>
          <c:val>
            <c:numRef>
              <c:f>Analysis!$D$11:$D$13</c:f>
              <c:numCache>
                <c:formatCode>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F-4F76-80BB-F57597D27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553424"/>
        <c:axId val="1977555344"/>
      </c:barChart>
      <c:catAx>
        <c:axId val="19775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55344"/>
        <c:crosses val="autoZero"/>
        <c:auto val="1"/>
        <c:lblAlgn val="ctr"/>
        <c:lblOffset val="100"/>
        <c:noMultiLvlLbl val="0"/>
      </c:catAx>
      <c:valAx>
        <c:axId val="19775553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5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Analysis!$B$27</c:f>
          <c:strCache>
            <c:ptCount val="1"/>
            <c:pt idx="0">
              <c:v>Churn Rate per TenureGroup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Analysis!$B$30:$B$32</c:f>
              <c:strCache>
                <c:ptCount val="3"/>
                <c:pt idx="0">
                  <c:v>0-6 Months</c:v>
                </c:pt>
                <c:pt idx="1">
                  <c:v>7-12 Months</c:v>
                </c:pt>
                <c:pt idx="2">
                  <c:v>13+ Months</c:v>
                </c:pt>
              </c:strCache>
            </c:strRef>
          </c:cat>
          <c:val>
            <c:numRef>
              <c:f>Analysis!$D$30:$D$32</c:f>
              <c:numCache>
                <c:formatCode>0%</c:formatCode>
                <c:ptCount val="3"/>
                <c:pt idx="0">
                  <c:v>0.6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0-473D-8C4E-1A56B72D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505360"/>
        <c:axId val="1732505840"/>
      </c:barChart>
      <c:catAx>
        <c:axId val="17325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05840"/>
        <c:crosses val="autoZero"/>
        <c:auto val="1"/>
        <c:lblAlgn val="ctr"/>
        <c:lblOffset val="100"/>
        <c:noMultiLvlLbl val="0"/>
      </c:catAx>
      <c:valAx>
        <c:axId val="173250584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Analysis!$B$86</c:f>
          <c:strCache>
            <c:ptCount val="1"/>
            <c:pt idx="0">
              <c:v> Churn Rate per Retention Offer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Analysis!$D$88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Analysis!$B$89:$B$90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Analysis!$D$89:$D$90</c:f>
              <c:numCache>
                <c:formatCode>0%</c:formatCode>
                <c:ptCount val="2"/>
                <c:pt idx="0">
                  <c:v>0.7142857142857143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0-4E8C-B009-8FD4D0318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944576"/>
        <c:axId val="1709934016"/>
      </c:barChart>
      <c:catAx>
        <c:axId val="170994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34016"/>
        <c:crosses val="autoZero"/>
        <c:auto val="1"/>
        <c:lblAlgn val="ctr"/>
        <c:lblOffset val="100"/>
        <c:noMultiLvlLbl val="0"/>
      </c:catAx>
      <c:valAx>
        <c:axId val="17099340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4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328609</xdr:colOff>
      <xdr:row>6</xdr:row>
      <xdr:rowOff>169068</xdr:rowOff>
    </xdr:from>
    <xdr:to>
      <xdr:col>6</xdr:col>
      <xdr:colOff>59531</xdr:colOff>
      <xdr:row>10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E49A-F9E4-476A-BDAE-0A2585F40169}"/>
            </a:ext>
          </a:extLst>
        </xdr:cNvPr>
        <xdr:cNvSpPr txBox="1"/>
      </xdr:nvSpPr>
      <xdr:spPr>
        <a:xfrm>
          <a:off x="542922" y="1716881"/>
          <a:ext cx="2767015" cy="933450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TOTAL CUSTOMERS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11</xdr:col>
      <xdr:colOff>2381</xdr:colOff>
      <xdr:row>6</xdr:row>
      <xdr:rowOff>166688</xdr:rowOff>
    </xdr:from>
    <xdr:to>
      <xdr:col>15</xdr:col>
      <xdr:colOff>333375</xdr:colOff>
      <xdr:row>10</xdr:row>
      <xdr:rowOff>150019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E81095-AD81-4113-810B-7DDBCC39DD22}"/>
            </a:ext>
          </a:extLst>
        </xdr:cNvPr>
        <xdr:cNvSpPr txBox="1"/>
      </xdr:nvSpPr>
      <xdr:spPr>
        <a:xfrm>
          <a:off x="6288881" y="1714501"/>
          <a:ext cx="2759869" cy="923924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CHURN RATE</a:t>
          </a:r>
        </a:p>
        <a:p>
          <a:pPr algn="ctr"/>
          <a:endParaRPr lang="en-US" sz="1100"/>
        </a:p>
        <a:p>
          <a:pPr algn="ctr"/>
          <a:r>
            <a:rPr lang="en-US" sz="1600" b="1"/>
            <a:t>50%</a:t>
          </a:r>
        </a:p>
      </xdr:txBody>
    </xdr:sp>
    <xdr:clientData/>
  </xdr:twoCellAnchor>
  <xdr:twoCellAnchor>
    <xdr:from>
      <xdr:col>15</xdr:col>
      <xdr:colOff>457200</xdr:colOff>
      <xdr:row>6</xdr:row>
      <xdr:rowOff>166687</xdr:rowOff>
    </xdr:from>
    <xdr:to>
      <xdr:col>20</xdr:col>
      <xdr:colOff>166688</xdr:colOff>
      <xdr:row>10</xdr:row>
      <xdr:rowOff>150019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315F2A-CC8C-438C-9A90-C5A06876A160}"/>
            </a:ext>
          </a:extLst>
        </xdr:cNvPr>
        <xdr:cNvSpPr txBox="1"/>
      </xdr:nvSpPr>
      <xdr:spPr>
        <a:xfrm>
          <a:off x="9172575" y="1714500"/>
          <a:ext cx="2745582" cy="923925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CUSTOMERS</a:t>
          </a:r>
          <a:r>
            <a:rPr lang="en-US" sz="1100" b="1" baseline="0"/>
            <a:t> </a:t>
          </a:r>
          <a:r>
            <a:rPr lang="en-US" sz="1100" b="1"/>
            <a:t>RETAINED</a:t>
          </a:r>
        </a:p>
        <a:p>
          <a:pPr algn="ctr"/>
          <a:endParaRPr lang="en-US" sz="1100"/>
        </a:p>
        <a:p>
          <a:pPr algn="ctr"/>
          <a:r>
            <a:rPr lang="en-US" sz="1600" b="1"/>
            <a:t>5</a:t>
          </a:r>
        </a:p>
      </xdr:txBody>
    </xdr:sp>
    <xdr:clientData/>
  </xdr:twoCellAnchor>
  <xdr:twoCellAnchor>
    <xdr:from>
      <xdr:col>6</xdr:col>
      <xdr:colOff>166688</xdr:colOff>
      <xdr:row>6</xdr:row>
      <xdr:rowOff>176212</xdr:rowOff>
    </xdr:from>
    <xdr:to>
      <xdr:col>10</xdr:col>
      <xdr:colOff>500063</xdr:colOff>
      <xdr:row>10</xdr:row>
      <xdr:rowOff>159543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4CAE47-D3F8-0687-5203-F68E0393E65A}"/>
            </a:ext>
          </a:extLst>
        </xdr:cNvPr>
        <xdr:cNvSpPr txBox="1"/>
      </xdr:nvSpPr>
      <xdr:spPr>
        <a:xfrm>
          <a:off x="3417094" y="1724025"/>
          <a:ext cx="2762250" cy="923924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CHURNED CUSTOMERS</a:t>
          </a:r>
        </a:p>
        <a:p>
          <a:pPr algn="ctr"/>
          <a:endParaRPr lang="en-US" sz="1100"/>
        </a:p>
        <a:p>
          <a:pPr algn="ctr"/>
          <a:r>
            <a:rPr lang="en-US" sz="1600" b="1"/>
            <a:t>5</a:t>
          </a:r>
        </a:p>
      </xdr:txBody>
    </xdr:sp>
    <xdr:clientData/>
  </xdr:twoCellAnchor>
  <xdr:twoCellAnchor>
    <xdr:from>
      <xdr:col>1</xdr:col>
      <xdr:colOff>261936</xdr:colOff>
      <xdr:row>13</xdr:row>
      <xdr:rowOff>83343</xdr:rowOff>
    </xdr:from>
    <xdr:to>
      <xdr:col>10</xdr:col>
      <xdr:colOff>547687</xdr:colOff>
      <xdr:row>29</xdr:row>
      <xdr:rowOff>136184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9BFAEF-A1C6-4542-8815-90DFBFC71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71437</xdr:colOff>
      <xdr:row>13</xdr:row>
      <xdr:rowOff>71437</xdr:rowOff>
    </xdr:from>
    <xdr:to>
      <xdr:col>20</xdr:col>
      <xdr:colOff>369093</xdr:colOff>
      <xdr:row>29</xdr:row>
      <xdr:rowOff>124278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52A209-325A-43FD-A349-CE471C356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273843</xdr:colOff>
      <xdr:row>30</xdr:row>
      <xdr:rowOff>47625</xdr:rowOff>
    </xdr:from>
    <xdr:to>
      <xdr:col>10</xdr:col>
      <xdr:colOff>595312</xdr:colOff>
      <xdr:row>46</xdr:row>
      <xdr:rowOff>32432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B95B160-8254-4CF9-B023-0B2F392D5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95250</xdr:colOff>
      <xdr:row>30</xdr:row>
      <xdr:rowOff>23812</xdr:rowOff>
    </xdr:from>
    <xdr:to>
      <xdr:col>20</xdr:col>
      <xdr:colOff>381000</xdr:colOff>
      <xdr:row>46</xdr:row>
      <xdr:rowOff>11339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9B0096D-5703-4A02-B898-4E92C8457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2</xdr:row>
      <xdr:rowOff>85725</xdr:rowOff>
    </xdr:from>
    <xdr:to>
      <xdr:col>4</xdr:col>
      <xdr:colOff>781049</xdr:colOff>
      <xdr:row>6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49276E-4A54-4D8D-9EBE-EF8291DFC658}"/>
            </a:ext>
          </a:extLst>
        </xdr:cNvPr>
        <xdr:cNvSpPr txBox="1"/>
      </xdr:nvSpPr>
      <xdr:spPr>
        <a:xfrm>
          <a:off x="152399" y="523875"/>
          <a:ext cx="3914775" cy="923925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Total Customers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4</xdr:col>
      <xdr:colOff>800101</xdr:colOff>
      <xdr:row>2</xdr:row>
      <xdr:rowOff>95251</xdr:rowOff>
    </xdr:from>
    <xdr:to>
      <xdr:col>9</xdr:col>
      <xdr:colOff>247650</xdr:colOff>
      <xdr:row>6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5C7D537-C141-4B4E-BF68-8F31B925254F}"/>
            </a:ext>
          </a:extLst>
        </xdr:cNvPr>
        <xdr:cNvSpPr txBox="1"/>
      </xdr:nvSpPr>
      <xdr:spPr>
        <a:xfrm>
          <a:off x="4086226" y="533401"/>
          <a:ext cx="3552824" cy="914399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Churned Customers</a:t>
          </a:r>
        </a:p>
        <a:p>
          <a:pPr algn="ctr"/>
          <a:endParaRPr lang="en-US" sz="1100"/>
        </a:p>
        <a:p>
          <a:pPr algn="ctr"/>
          <a:r>
            <a:rPr lang="en-US" sz="1600" b="1"/>
            <a:t>5</a:t>
          </a:r>
        </a:p>
      </xdr:txBody>
    </xdr:sp>
    <xdr:clientData/>
  </xdr:twoCellAnchor>
  <xdr:twoCellAnchor>
    <xdr:from>
      <xdr:col>9</xdr:col>
      <xdr:colOff>266699</xdr:colOff>
      <xdr:row>2</xdr:row>
      <xdr:rowOff>95250</xdr:rowOff>
    </xdr:from>
    <xdr:to>
      <xdr:col>15</xdr:col>
      <xdr:colOff>542924</xdr:colOff>
      <xdr:row>6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D23F01-BAF9-45AF-96CB-EE4E5D3CBF29}"/>
            </a:ext>
          </a:extLst>
        </xdr:cNvPr>
        <xdr:cNvSpPr txBox="1"/>
      </xdr:nvSpPr>
      <xdr:spPr>
        <a:xfrm>
          <a:off x="7658099" y="533400"/>
          <a:ext cx="3933825" cy="914400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Churn</a:t>
          </a:r>
          <a:r>
            <a:rPr lang="en-US" sz="1100" b="1" baseline="0"/>
            <a:t> </a:t>
          </a:r>
          <a:r>
            <a:rPr lang="en-US" sz="1100" b="1"/>
            <a:t>Rate</a:t>
          </a:r>
        </a:p>
        <a:p>
          <a:pPr algn="ctr"/>
          <a:endParaRPr lang="en-US" sz="1100"/>
        </a:p>
        <a:p>
          <a:pPr algn="ctr"/>
          <a:r>
            <a:rPr lang="en-US" sz="1600" b="1"/>
            <a:t>50%</a:t>
          </a:r>
        </a:p>
      </xdr:txBody>
    </xdr:sp>
    <xdr:clientData/>
  </xdr:twoCellAnchor>
  <xdr:twoCellAnchor>
    <xdr:from>
      <xdr:col>14</xdr:col>
      <xdr:colOff>208643</xdr:colOff>
      <xdr:row>49</xdr:row>
      <xdr:rowOff>31975</xdr:rowOff>
    </xdr:from>
    <xdr:to>
      <xdr:col>23</xdr:col>
      <xdr:colOff>18143</xdr:colOff>
      <xdr:row>64</xdr:row>
      <xdr:rowOff>153306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B2D3F-FA56-45EF-93C6-9D5201648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114979</xdr:colOff>
      <xdr:row>68</xdr:row>
      <xdr:rowOff>94568</xdr:rowOff>
    </xdr:from>
    <xdr:to>
      <xdr:col>22</xdr:col>
      <xdr:colOff>541564</xdr:colOff>
      <xdr:row>84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A159E-07AF-C979-0848-14CC9E22C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208642</xdr:colOff>
      <xdr:row>9</xdr:row>
      <xdr:rowOff>74158</xdr:rowOff>
    </xdr:from>
    <xdr:to>
      <xdr:col>23</xdr:col>
      <xdr:colOff>-1</xdr:colOff>
      <xdr:row>25</xdr:row>
      <xdr:rowOff>22678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87FF0F-379F-43DE-B642-9618A27D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174625</xdr:colOff>
      <xdr:row>28</xdr:row>
      <xdr:rowOff>6121</xdr:rowOff>
    </xdr:from>
    <xdr:to>
      <xdr:col>23</xdr:col>
      <xdr:colOff>0</xdr:colOff>
      <xdr:row>43</xdr:row>
      <xdr:rowOff>147409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EDA4233-0A32-A825-FB45-CA57A69B8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174625</xdr:colOff>
      <xdr:row>86</xdr:row>
      <xdr:rowOff>119514</xdr:rowOff>
    </xdr:from>
    <xdr:to>
      <xdr:col>22</xdr:col>
      <xdr:colOff>578304</xdr:colOff>
      <xdr:row>102</xdr:row>
      <xdr:rowOff>45357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6B6D82-C675-0ACC-E039-30D144DFB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LOLA YUSUF" refreshedDate="46255.522065740741" createdVersion="8" refreshedVersion="8" minRefreshableVersion="3" recordCount="10" xr:uid="{759CDD05-4F19-4B1B-82A3-32923C7CE0D6}">
  <cacheSource type="worksheet">
    <worksheetSource ref="A1:I11" sheet="Churn_tenure"/>
  </cacheSource>
  <cacheFields count="9">
    <cacheField name="CustomerID" numFmtId="0">
      <sharedItems containsSemiMixedTypes="0" containsString="0" containsNumber="1" containsInteger="1" minValue="1001" maxValue="1010"/>
    </cacheField>
    <cacheField name="SubscriptionType" numFmtId="0">
      <sharedItems/>
    </cacheField>
    <cacheField name="TenureMonths" numFmtId="0">
      <sharedItems containsSemiMixedTypes="0" containsString="0" containsNumber="1" containsInteger="1" minValue="1" maxValue="48" count="10">
        <n v="2"/>
        <n v="5"/>
        <n v="1"/>
        <n v="3"/>
        <n v="4"/>
        <n v="12"/>
        <n v="8"/>
        <n v="24"/>
        <n v="36"/>
        <n v="48"/>
      </sharedItems>
      <fieldGroup base="2">
        <rangePr startNum="1" endNum="48" groupInterval="6"/>
        <groupItems count="10">
          <s v="&lt;1"/>
          <s v="1-6"/>
          <s v="7-12"/>
          <s v="13-18"/>
          <s v="19-24"/>
          <s v="25-30"/>
          <s v="31-36"/>
          <s v="37-42"/>
          <s v="43-48"/>
          <s v="&gt;49"/>
        </groupItems>
      </fieldGroup>
    </cacheField>
    <cacheField name="Tenure_group" numFmtId="0">
      <sharedItems count="3">
        <s v="0-6 Months"/>
        <s v="7-12 Months"/>
        <s v="13+ Months"/>
      </sharedItems>
    </cacheField>
    <cacheField name="MonthlyCharges" numFmtId="0">
      <sharedItems containsSemiMixedTypes="0" containsString="0" containsNumber="1" containsInteger="1" minValue="10" maxValue="30"/>
    </cacheField>
    <cacheField name="TotalComplaintsLast3Months" numFmtId="0">
      <sharedItems containsSemiMixedTypes="0" containsString="0" containsNumber="1" containsInteger="1" minValue="0" maxValue="4"/>
    </cacheField>
    <cacheField name="WasRetentionOfferGiven" numFmtId="0">
      <sharedItems/>
    </cacheField>
    <cacheField name="Churn" numFmtId="0">
      <sharedItems count="2">
        <s v="Yes"/>
        <s v="No"/>
      </sharedItems>
    </cacheField>
    <cacheField name="churn_num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ILOLA YUSUF" refreshedDate="46281.776641203702" createdVersion="8" refreshedVersion="8" minRefreshableVersion="3" recordCount="10" xr:uid="{E78C62E1-135C-4EDD-8FC6-99C037987467}">
  <cacheSource type="worksheet">
    <worksheetSource name="Table1"/>
  </cacheSource>
  <cacheFields count="12">
    <cacheField name="CustomerID" numFmtId="0">
      <sharedItems containsSemiMixedTypes="0" containsString="0" containsNumber="1" containsInteger="1" minValue="1001" maxValue="1010"/>
    </cacheField>
    <cacheField name="SubscriptionType" numFmtId="0">
      <sharedItems count="3">
        <s v="Monthly"/>
        <s v="Yearly"/>
        <s v="Quarterly"/>
      </sharedItems>
    </cacheField>
    <cacheField name="TenureMonths" numFmtId="0">
      <sharedItems containsSemiMixedTypes="0" containsString="0" containsNumber="1" containsInteger="1" minValue="1" maxValue="48" count="10">
        <n v="2"/>
        <n v="5"/>
        <n v="24"/>
        <n v="12"/>
        <n v="1"/>
        <n v="36"/>
        <n v="8"/>
        <n v="3"/>
        <n v="48"/>
        <n v="4"/>
      </sharedItems>
      <fieldGroup base="2">
        <rangePr startNum="1" endNum="48" groupInterval="6"/>
        <groupItems count="10">
          <s v="&lt;1"/>
          <s v="1-6"/>
          <s v="7-12"/>
          <s v="13-18"/>
          <s v="19-24"/>
          <s v="25-30"/>
          <s v="31-36"/>
          <s v="37-42"/>
          <s v="43-48"/>
          <s v="&gt;49"/>
        </groupItems>
      </fieldGroup>
    </cacheField>
    <cacheField name="MonthlyCharges" numFmtId="164">
      <sharedItems containsSemiMixedTypes="0" containsString="0" containsNumber="1" containsInteger="1" minValue="10" maxValue="30" count="8">
        <n v="25"/>
        <n v="30"/>
        <n v="15"/>
        <n v="20"/>
        <n v="12"/>
        <n v="18"/>
        <n v="10"/>
        <n v="28"/>
      </sharedItems>
      <fieldGroup base="3">
        <rangePr startNum="10" endNum="30" groupInterval="5"/>
        <groupItems count="6">
          <s v="&lt;10"/>
          <s v="10-14"/>
          <s v="15-19"/>
          <s v="20-24"/>
          <s v="25-30"/>
          <s v="&gt;30"/>
        </groupItems>
      </fieldGroup>
    </cacheField>
    <cacheField name="TotalComplaintsLast3Months" numFmtId="0">
      <sharedItems containsSemiMixedTypes="0" containsString="0" containsNumber="1" containsInteger="1" minValue="0" maxValue="4" count="5">
        <n v="3"/>
        <n v="1"/>
        <n v="0"/>
        <n v="2"/>
        <n v="4"/>
      </sharedItems>
    </cacheField>
    <cacheField name="WasRetentionOfferGiven" numFmtId="0">
      <sharedItems count="2">
        <s v="No"/>
        <s v="Yes"/>
      </sharedItems>
    </cacheField>
    <cacheField name="Churn" numFmtId="0">
      <sharedItems/>
    </cacheField>
    <cacheField name="TenureGroup" numFmtId="0">
      <sharedItems count="3">
        <s v="0-6 Months"/>
        <s v="13+ Months"/>
        <s v="7-12 Months"/>
      </sharedItems>
    </cacheField>
    <cacheField name="Tenure in Year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hurn counter" numFmtId="0">
      <sharedItems containsSemiMixedTypes="0" containsString="0" containsNumber="1" containsInteger="1" minValue="0" maxValue="1"/>
    </cacheField>
    <cacheField name="Total Counter" numFmtId="0">
      <sharedItems containsSemiMixedTypes="0" containsString="0" containsNumber="1" containsInteger="1" minValue="1" maxValue="1"/>
    </cacheField>
    <cacheField name="ChurnRate" numFmtId="0" formula="'Churn counter'/'Total Counter'" databaseField="0"/>
  </cacheFields>
  <extLst>
    <ext xmlns:x14="http://schemas.microsoft.com/office/spreadsheetml/2009/9/main" uri="{725AE2AE-9491-48be-B2B4-4EB974FC3084}">
      <x14:pivotCacheDefinition pivotCacheId="11392100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Monthly"/>
    <x v="0"/>
    <x v="0"/>
    <n v="25"/>
    <n v="3"/>
    <s v="No"/>
    <x v="0"/>
    <n v="1"/>
  </r>
  <r>
    <n v="1002"/>
    <s v="Monthly"/>
    <x v="1"/>
    <x v="0"/>
    <n v="30"/>
    <n v="1"/>
    <s v="Yes"/>
    <x v="1"/>
    <n v="0"/>
  </r>
  <r>
    <n v="1005"/>
    <s v="Monthly"/>
    <x v="2"/>
    <x v="0"/>
    <n v="25"/>
    <n v="4"/>
    <s v="No"/>
    <x v="0"/>
    <n v="1"/>
  </r>
  <r>
    <n v="1008"/>
    <s v="Monthly"/>
    <x v="3"/>
    <x v="0"/>
    <n v="30"/>
    <n v="3"/>
    <s v="Yes"/>
    <x v="1"/>
    <n v="0"/>
  </r>
  <r>
    <n v="1010"/>
    <s v="Monthly"/>
    <x v="4"/>
    <x v="0"/>
    <n v="28"/>
    <n v="2"/>
    <s v="No"/>
    <x v="0"/>
    <n v="1"/>
  </r>
  <r>
    <n v="1004"/>
    <s v="Quarterly"/>
    <x v="5"/>
    <x v="1"/>
    <n v="20"/>
    <n v="2"/>
    <s v="No"/>
    <x v="0"/>
    <n v="1"/>
  </r>
  <r>
    <n v="1007"/>
    <s v="Quarterly"/>
    <x v="6"/>
    <x v="1"/>
    <n v="18"/>
    <n v="1"/>
    <s v="No"/>
    <x v="0"/>
    <n v="1"/>
  </r>
  <r>
    <n v="1003"/>
    <s v="Yearly"/>
    <x v="7"/>
    <x v="2"/>
    <n v="15"/>
    <n v="0"/>
    <s v="No"/>
    <x v="1"/>
    <n v="0"/>
  </r>
  <r>
    <n v="1006"/>
    <s v="Yearly"/>
    <x v="8"/>
    <x v="2"/>
    <n v="12"/>
    <n v="0"/>
    <s v="Yes"/>
    <x v="1"/>
    <n v="0"/>
  </r>
  <r>
    <n v="1009"/>
    <s v="Yearly"/>
    <x v="9"/>
    <x v="2"/>
    <n v="10"/>
    <n v="0"/>
    <s v="No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x v="0"/>
    <s v="Yes"/>
    <x v="0"/>
    <x v="0"/>
    <n v="1"/>
    <n v="1"/>
  </r>
  <r>
    <n v="1002"/>
    <x v="0"/>
    <x v="1"/>
    <x v="1"/>
    <x v="1"/>
    <x v="1"/>
    <s v="No"/>
    <x v="0"/>
    <x v="0"/>
    <n v="0"/>
    <n v="1"/>
  </r>
  <r>
    <n v="1003"/>
    <x v="1"/>
    <x v="2"/>
    <x v="2"/>
    <x v="2"/>
    <x v="0"/>
    <s v="No"/>
    <x v="1"/>
    <x v="1"/>
    <n v="0"/>
    <n v="1"/>
  </r>
  <r>
    <n v="1004"/>
    <x v="2"/>
    <x v="3"/>
    <x v="3"/>
    <x v="3"/>
    <x v="0"/>
    <s v="Yes"/>
    <x v="2"/>
    <x v="0"/>
    <n v="1"/>
    <n v="1"/>
  </r>
  <r>
    <n v="1005"/>
    <x v="0"/>
    <x v="4"/>
    <x v="0"/>
    <x v="4"/>
    <x v="0"/>
    <s v="Yes"/>
    <x v="0"/>
    <x v="0"/>
    <n v="1"/>
    <n v="1"/>
  </r>
  <r>
    <n v="1006"/>
    <x v="1"/>
    <x v="5"/>
    <x v="4"/>
    <x v="2"/>
    <x v="1"/>
    <s v="No"/>
    <x v="1"/>
    <x v="2"/>
    <n v="0"/>
    <n v="1"/>
  </r>
  <r>
    <n v="1007"/>
    <x v="2"/>
    <x v="6"/>
    <x v="5"/>
    <x v="1"/>
    <x v="0"/>
    <s v="Yes"/>
    <x v="2"/>
    <x v="0"/>
    <n v="1"/>
    <n v="1"/>
  </r>
  <r>
    <n v="1008"/>
    <x v="0"/>
    <x v="7"/>
    <x v="1"/>
    <x v="0"/>
    <x v="1"/>
    <s v="No"/>
    <x v="0"/>
    <x v="0"/>
    <n v="0"/>
    <n v="1"/>
  </r>
  <r>
    <n v="1009"/>
    <x v="1"/>
    <x v="8"/>
    <x v="6"/>
    <x v="2"/>
    <x v="0"/>
    <s v="No"/>
    <x v="1"/>
    <x v="3"/>
    <n v="0"/>
    <n v="1"/>
  </r>
  <r>
    <n v="1010"/>
    <x v="0"/>
    <x v="9"/>
    <x v="7"/>
    <x v="3"/>
    <x v="0"/>
    <s v="Yes"/>
    <x v="0"/>
    <x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8A4B3-F75F-4408-8B6F-2C1FA2620535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Charges">
  <location ref="A35:C40" firstHeaderRow="0" firstDataRow="1" firstDataCol="1"/>
  <pivotFields count="12">
    <pivotField showAll="0"/>
    <pivotField showAll="0">
      <items count="4">
        <item x="0"/>
        <item x="2"/>
        <item x="1"/>
        <item t="default"/>
      </items>
    </pivotField>
    <pivotField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 Count" fld="10" baseField="0" baseItem="0"/>
    <dataField name="Churn Rate" fld="11" baseField="0" baseItem="0" numFmtId="9"/>
  </dataFields>
  <formats count="4">
    <format dxfId="9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733E0-394C-4449-9FEE-039165274CC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in Years">
  <location ref="A10:D15" firstHeaderRow="0" firstDataRow="1" firstDataCol="1"/>
  <pivotFields count="12">
    <pivotField showAll="0"/>
    <pivotField showAll="0">
      <items count="4"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 sortType="ascending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10" baseField="0" baseItem="0"/>
    <dataField name="Churn Rate" fld="11" baseField="0" baseItem="0" numFmtId="9"/>
    <dataField name="Average of MonthlyCharges" fld="3" subtotal="average" baseField="1" baseItem="0" numFmtId="2"/>
  </dataFields>
  <formats count="5"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D367E-D637-415A-B4CB-7D2C32B7B7DB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talComplaints">
  <location ref="A26:D32" firstHeaderRow="0" firstDataRow="1" firstDataCol="1"/>
  <pivotFields count="12">
    <pivotField showAll="0"/>
    <pivotField showAll="0">
      <items count="4">
        <item x="0"/>
        <item x="2"/>
        <item x="1"/>
        <item t="default"/>
      </items>
    </pivotField>
    <pivotField showAll="0"/>
    <pivotField dataField="1" numFmtId="164"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10" baseField="0" baseItem="0"/>
    <dataField name="Churn Rate" fld="11" baseField="0" baseItem="0" numFmtId="9"/>
    <dataField name="Average of MonthlyCharges" fld="3" subtotal="average" baseField="1" baseItem="0" numFmtId="2"/>
  </dataFields>
  <formats count="5"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D79C1-5717-4349-9FFF-CAB0FE30B47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tention Offer">
  <location ref="A43:D46" firstHeaderRow="0" firstDataRow="1" firstDataCol="1"/>
  <pivotFields count="12">
    <pivotField showAll="0"/>
    <pivotField showAll="0">
      <items count="4">
        <item x="0"/>
        <item x="2"/>
        <item x="1"/>
        <item t="default"/>
      </items>
    </pivotField>
    <pivotField showAll="0"/>
    <pivotField dataField="1" numFmtId="164" showAll="0"/>
    <pivotField showAll="0">
      <items count="6">
        <item x="2"/>
        <item x="1"/>
        <item x="3"/>
        <item x="0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10" baseField="0" baseItem="0"/>
    <dataField name="Churn Rate" fld="11" baseField="0" baseItem="0" numFmtId="9"/>
    <dataField name="Average of MonthlyCharges" fld="3" subtotal="average" baseField="1" baseItem="0" numFmtId="2"/>
  </dataFields>
  <formats count="5"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outline="0" collapsedLevelsAreSubtotals="1" fieldPosition="0"/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83505-514D-4C4D-B0FE-5937FA239FA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scription Type">
  <location ref="A3:D7" firstHeaderRow="0" firstDataRow="1" firstDataCol="1"/>
  <pivotFields count="12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10" baseField="0" baseItem="0"/>
    <dataField name="Churn Rate" fld="11" baseField="0" baseItem="0" numFmtId="9"/>
    <dataField name="Average of MonthlyCharges" fld="3" subtotal="average" baseField="1" baseItem="0" numFmtId="2"/>
  </dataFields>
  <formats count="7">
    <format dxfId="31">
      <pivotArea collapsedLevelsAreSubtotals="1" fieldPosition="0">
        <references count="1">
          <reference field="1" count="1">
            <x v="0"/>
          </reference>
        </references>
      </pivotArea>
    </format>
    <format dxfId="30">
      <pivotArea dataOnly="0" labelOnly="1" outline="0" axis="axisValues" fieldPosition="0"/>
    </format>
    <format dxfId="29">
      <pivotArea collapsedLevelsAreSubtotals="1" fieldPosition="0">
        <references count="1">
          <reference field="1" count="2">
            <x v="1"/>
            <x v="2"/>
          </reference>
        </references>
      </pivotArea>
    </format>
    <format dxfId="28">
      <pivotArea grandRow="1"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A8247-847C-4FF0-A9E1-5649FD99C1F8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Months in group">
  <location ref="A18:D22" firstHeaderRow="0" firstDataRow="1" firstDataCol="1"/>
  <pivotFields count="12">
    <pivotField showAll="0"/>
    <pivotField showAll="0">
      <items count="4"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showAll="0">
      <items count="6">
        <item x="2"/>
        <item x="1"/>
        <item x="3"/>
        <item x="0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10" baseField="0" baseItem="0"/>
    <dataField name="Churn Rate" fld="11" baseField="0" baseItem="0" numFmtId="9"/>
    <dataField name="Average of MonthlyCharges" fld="3" subtotal="average" baseField="1" baseItem="0" numFmtId="2"/>
  </dataFields>
  <formats count="5"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A963F-218F-40F5-A207-4CF37739670D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enureMonths" colHeaderCaption="Total Churn">
  <location ref="A35:B41" firstHeaderRow="1" firstDataRow="1" firstDataCol="1"/>
  <pivotFields count="9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</pivotFields>
  <rowFields count="1">
    <field x="2"/>
  </rowFields>
  <rowItems count="6">
    <i>
      <x v="1"/>
    </i>
    <i>
      <x v="2"/>
    </i>
    <i>
      <x v="4"/>
    </i>
    <i>
      <x v="6"/>
    </i>
    <i>
      <x v="8"/>
    </i>
    <i t="grand">
      <x/>
    </i>
  </rowItems>
  <colItems count="1">
    <i/>
  </colItems>
  <dataFields count="1">
    <dataField name="Total Churn" fld="8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F71D7-3579-46CD-8875-427335A640AB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enure_group" colHeaderCaption="Total Churn">
  <location ref="A27:B31" firstHeaderRow="1" firstDataRow="1" firstDataCol="1"/>
  <pivotFields count="9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hurn" fld="8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83E0C-DE06-4DD0-9321-C56A44CE37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22" firstHeaderRow="0" firstDataRow="1" firstDataCol="1"/>
  <pivotFields count="9">
    <pivotField dataField="1"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" fld="0" subtotal="count" baseField="3" baseItem="0"/>
    <dataField name="Total Chur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55886-91B5-4C7C-BAC9-C49927228D87}" name="Table1" displayName="Table1" ref="A1:K11" totalsRowShown="0">
  <autoFilter ref="A1:K11" xr:uid="{B6AF7702-3FDD-49AC-A68C-B81B05A0F75E}"/>
  <tableColumns count="11">
    <tableColumn id="1" xr3:uid="{03CCDFA1-3FA7-445A-9108-33CEA2C997E3}" name="CustomerID"/>
    <tableColumn id="2" xr3:uid="{E55C7F99-867C-4720-87F2-BC12F4AE8BA4}" name="SubscriptionType"/>
    <tableColumn id="3" xr3:uid="{B3A12257-6CA2-4F56-A7CF-30A1F21FF7BC}" name="TenureMonths"/>
    <tableColumn id="4" xr3:uid="{4EBE3D52-C194-4D47-9C99-9CC4D164DC03}" name="MonthlyCharges" dataDxfId="5" dataCellStyle="Currency"/>
    <tableColumn id="5" xr3:uid="{456C7875-5951-4103-BD80-96547231C3F8}" name="TotalComplaintsLast3Months"/>
    <tableColumn id="6" xr3:uid="{0D366086-959B-4ECF-B719-A0A4E847166D}" name="WasRetentionOfferGiven"/>
    <tableColumn id="7" xr3:uid="{36B5DAC0-D019-4906-AFFF-60C156006FED}" name="Churn" dataDxfId="4"/>
    <tableColumn id="9" xr3:uid="{9EAABD2E-C4C5-491D-B535-26510E9490D6}" name="TenureGroup" dataDxfId="3">
      <calculatedColumnFormula>IF(Table1[[#This Row],[TenureMonths]]&lt;=6,"0-6 Months",IF(Table1[[#This Row],[TenureMonths]]&lt;=12,"7-12 Months","13+ Months"))</calculatedColumnFormula>
    </tableColumn>
    <tableColumn id="10" xr3:uid="{AD24F55B-5FF3-4688-8782-64F785D0C984}" name="Tenure in Years" dataDxfId="2">
      <calculatedColumnFormula>ROUNDUP(Table1[[#This Row],[TenureMonths]]/12,0)</calculatedColumnFormula>
    </tableColumn>
    <tableColumn id="8" xr3:uid="{751D742B-D3C5-44B8-9E7E-E0D3C72AAF1A}" name="Churn counter" dataDxfId="1">
      <calculatedColumnFormula>IF(G2="Yes",1,0)</calculatedColumnFormula>
    </tableColumn>
    <tableColumn id="11" xr3:uid="{4C4D01F8-E2FF-4534-AD4E-62365AE897D7}" name="Total Counter" dataDxfId="0">
      <calculatedColumnFormula>COUNTIF(Table1[CustomerID],Table1[[#This Row],[CustomerID]])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7BC7-A458-4746-B44B-E58F324BB7F5}">
  <dimension ref="B1:U77"/>
  <sheetViews>
    <sheetView showGridLines="0" tabSelected="1" zoomScale="60" zoomScaleNormal="60" workbookViewId="0">
      <selection activeCell="U6" sqref="U6"/>
    </sheetView>
  </sheetViews>
  <sheetFormatPr defaultRowHeight="15" x14ac:dyDescent="0.25"/>
  <cols>
    <col min="1" max="1" width="3.28515625" customWidth="1"/>
    <col min="8" max="8" width="8.28515625" customWidth="1"/>
  </cols>
  <sheetData>
    <row r="1" spans="2:2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2:21" x14ac:dyDescent="0.25">
      <c r="H2" s="2"/>
    </row>
    <row r="3" spans="2:21" ht="27" x14ac:dyDescent="0.5">
      <c r="H3" s="25" t="s">
        <v>100</v>
      </c>
    </row>
    <row r="4" spans="2:21" ht="20.25" x14ac:dyDescent="0.4">
      <c r="B4" s="14"/>
      <c r="I4" s="26" t="s">
        <v>99</v>
      </c>
    </row>
    <row r="5" spans="2:21" ht="27" x14ac:dyDescent="0.5">
      <c r="B5" s="14"/>
      <c r="H5" s="25"/>
    </row>
    <row r="6" spans="2:2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8" spans="2:21" ht="19.5" x14ac:dyDescent="0.4">
      <c r="B8" s="14"/>
      <c r="C8" s="16"/>
    </row>
    <row r="9" spans="2:21" ht="19.5" x14ac:dyDescent="0.4">
      <c r="B9" s="14"/>
      <c r="C9" s="16"/>
    </row>
    <row r="10" spans="2:21" ht="19.5" x14ac:dyDescent="0.4">
      <c r="B10" s="14"/>
      <c r="C10" s="16"/>
    </row>
    <row r="13" spans="2:21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48" spans="2:21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50" spans="2:21" ht="22.5" x14ac:dyDescent="0.45">
      <c r="B50" s="24" t="s">
        <v>102</v>
      </c>
    </row>
    <row r="51" spans="2:21" ht="18.75" x14ac:dyDescent="0.3">
      <c r="B51" s="28" t="s">
        <v>103</v>
      </c>
    </row>
    <row r="52" spans="2:21" ht="18.75" x14ac:dyDescent="0.3">
      <c r="B52" s="28" t="s">
        <v>104</v>
      </c>
    </row>
    <row r="53" spans="2:21" ht="18.75" x14ac:dyDescent="0.3">
      <c r="B53" s="28" t="s">
        <v>105</v>
      </c>
    </row>
    <row r="54" spans="2:21" ht="18.75" x14ac:dyDescent="0.3">
      <c r="B54" s="28" t="s">
        <v>106</v>
      </c>
    </row>
    <row r="55" spans="2:21" ht="18.75" x14ac:dyDescent="0.3">
      <c r="B55" s="28"/>
    </row>
    <row r="56" spans="2:21" x14ac:dyDescent="0.2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8" spans="2:21" ht="22.5" x14ac:dyDescent="0.45">
      <c r="B58" s="24" t="s">
        <v>107</v>
      </c>
    </row>
    <row r="59" spans="2:21" ht="18.75" x14ac:dyDescent="0.3">
      <c r="B59" s="29" t="s">
        <v>108</v>
      </c>
    </row>
    <row r="60" spans="2:21" ht="18.75" x14ac:dyDescent="0.3">
      <c r="B60" s="28" t="s">
        <v>109</v>
      </c>
    </row>
    <row r="62" spans="2:21" x14ac:dyDescent="0.2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4" spans="2:21" ht="22.5" x14ac:dyDescent="0.45">
      <c r="B64" s="24" t="s">
        <v>110</v>
      </c>
    </row>
    <row r="65" spans="2:21" ht="18.75" x14ac:dyDescent="0.3">
      <c r="B65" s="30" t="s">
        <v>111</v>
      </c>
    </row>
    <row r="66" spans="2:21" ht="2.25" customHeight="1" x14ac:dyDescent="0.3">
      <c r="B66" s="30"/>
    </row>
    <row r="67" spans="2:21" ht="18.75" x14ac:dyDescent="0.3">
      <c r="B67" s="28" t="s">
        <v>112</v>
      </c>
      <c r="C67" s="27"/>
      <c r="D67" s="27"/>
    </row>
    <row r="68" spans="2:21" ht="18.75" x14ac:dyDescent="0.3">
      <c r="B68" s="28" t="s">
        <v>113</v>
      </c>
      <c r="C68" s="27"/>
      <c r="D68" s="27"/>
    </row>
    <row r="69" spans="2:21" ht="18.75" x14ac:dyDescent="0.3">
      <c r="B69" s="28" t="s">
        <v>114</v>
      </c>
      <c r="C69" s="27"/>
      <c r="D69" s="27"/>
    </row>
    <row r="70" spans="2:21" ht="18.75" x14ac:dyDescent="0.3">
      <c r="B70" s="28" t="s">
        <v>115</v>
      </c>
      <c r="C70" s="27"/>
      <c r="D70" s="27"/>
    </row>
    <row r="71" spans="2:21" ht="18.75" x14ac:dyDescent="0.3">
      <c r="B71" s="28" t="s">
        <v>116</v>
      </c>
      <c r="C71" s="27"/>
      <c r="D71" s="27"/>
    </row>
    <row r="72" spans="2:21" ht="18.75" x14ac:dyDescent="0.3">
      <c r="B72" s="28" t="s">
        <v>117</v>
      </c>
      <c r="C72" s="27"/>
      <c r="D72" s="27"/>
    </row>
    <row r="74" spans="2:21" x14ac:dyDescent="0.2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6" spans="2:21" ht="22.5" x14ac:dyDescent="0.45">
      <c r="B76" s="24" t="s">
        <v>119</v>
      </c>
    </row>
    <row r="77" spans="2:21" ht="18.75" x14ac:dyDescent="0.3">
      <c r="B77" s="28" t="s">
        <v>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0A9F-8229-4CD7-B91E-293669EE3B08}">
  <dimension ref="A2:Y95"/>
  <sheetViews>
    <sheetView showGridLines="0" zoomScale="84" workbookViewId="0">
      <selection activeCell="H75" sqref="H75"/>
    </sheetView>
  </sheetViews>
  <sheetFormatPr defaultRowHeight="15" x14ac:dyDescent="0.25"/>
  <cols>
    <col min="1" max="1" width="2" customWidth="1"/>
    <col min="2" max="2" width="16" customWidth="1"/>
    <col min="3" max="3" width="15.28515625" customWidth="1"/>
    <col min="4" max="4" width="16" customWidth="1"/>
    <col min="5" max="5" width="25" bestFit="1" customWidth="1"/>
  </cols>
  <sheetData>
    <row r="2" spans="1:25" ht="19.5" x14ac:dyDescent="0.4">
      <c r="A2" s="14"/>
      <c r="B2" s="16" t="s">
        <v>73</v>
      </c>
    </row>
    <row r="3" spans="1:25" ht="19.5" x14ac:dyDescent="0.4">
      <c r="A3" s="14"/>
      <c r="B3" s="16"/>
    </row>
    <row r="4" spans="1:25" ht="19.5" x14ac:dyDescent="0.4">
      <c r="A4" s="14"/>
      <c r="B4" s="16"/>
    </row>
    <row r="5" spans="1:25" ht="19.5" x14ac:dyDescent="0.4">
      <c r="A5" s="14"/>
      <c r="B5" s="16"/>
    </row>
    <row r="6" spans="1:25" ht="19.5" x14ac:dyDescent="0.4">
      <c r="A6" s="14"/>
      <c r="B6" s="16"/>
    </row>
    <row r="8" spans="1:25" s="3" customFormat="1" x14ac:dyDescent="0.25">
      <c r="A8" s="15">
        <v>1</v>
      </c>
      <c r="B8" s="15" t="s">
        <v>93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10" spans="1:25" x14ac:dyDescent="0.25">
      <c r="B10" s="19" t="s">
        <v>68</v>
      </c>
      <c r="C10" s="19" t="s">
        <v>51</v>
      </c>
      <c r="D10" s="19" t="s">
        <v>69</v>
      </c>
      <c r="E10" s="19" t="s">
        <v>67</v>
      </c>
    </row>
    <row r="11" spans="1:25" x14ac:dyDescent="0.25">
      <c r="B11" t="s">
        <v>7</v>
      </c>
      <c r="C11" s="17">
        <v>5</v>
      </c>
      <c r="D11" s="12">
        <v>0.6</v>
      </c>
      <c r="E11" s="13">
        <v>27.6</v>
      </c>
    </row>
    <row r="12" spans="1:25" x14ac:dyDescent="0.25">
      <c r="B12" t="s">
        <v>11</v>
      </c>
      <c r="C12" s="17">
        <v>2</v>
      </c>
      <c r="D12" s="12">
        <v>1</v>
      </c>
      <c r="E12" s="13">
        <v>19</v>
      </c>
    </row>
    <row r="13" spans="1:25" x14ac:dyDescent="0.25">
      <c r="B13" t="s">
        <v>10</v>
      </c>
      <c r="C13" s="17">
        <v>3</v>
      </c>
      <c r="D13" s="12">
        <v>0</v>
      </c>
      <c r="E13" s="13">
        <v>12.333333333333334</v>
      </c>
    </row>
    <row r="16" spans="1:25" x14ac:dyDescent="0.25">
      <c r="B16" s="3" t="s">
        <v>72</v>
      </c>
    </row>
    <row r="17" spans="1:25" ht="15.75" x14ac:dyDescent="0.25">
      <c r="A17">
        <v>1</v>
      </c>
      <c r="B17" s="18" t="s">
        <v>78</v>
      </c>
    </row>
    <row r="18" spans="1:25" ht="15.75" x14ac:dyDescent="0.25">
      <c r="A18">
        <v>2</v>
      </c>
      <c r="B18" s="18" t="s">
        <v>79</v>
      </c>
    </row>
    <row r="19" spans="1:25" ht="15.75" x14ac:dyDescent="0.25">
      <c r="A19">
        <v>3</v>
      </c>
      <c r="B19" s="18" t="s">
        <v>80</v>
      </c>
    </row>
    <row r="21" spans="1:25" ht="15.75" x14ac:dyDescent="0.25">
      <c r="B21" s="18" t="s">
        <v>76</v>
      </c>
    </row>
    <row r="22" spans="1:25" ht="15.75" x14ac:dyDescent="0.25">
      <c r="A22" t="s">
        <v>75</v>
      </c>
      <c r="B22" s="18" t="s">
        <v>81</v>
      </c>
    </row>
    <row r="23" spans="1:25" ht="15.75" x14ac:dyDescent="0.25">
      <c r="A23" t="s">
        <v>75</v>
      </c>
      <c r="B23" s="18" t="s">
        <v>82</v>
      </c>
    </row>
    <row r="27" spans="1:25" s="3" customFormat="1" x14ac:dyDescent="0.25">
      <c r="A27" s="15">
        <v>2</v>
      </c>
      <c r="B27" s="15" t="s">
        <v>101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9" spans="1:25" x14ac:dyDescent="0.25">
      <c r="B29" s="19" t="s">
        <v>74</v>
      </c>
      <c r="C29" s="19" t="s">
        <v>92</v>
      </c>
      <c r="D29" s="19" t="s">
        <v>98</v>
      </c>
      <c r="E29" s="19" t="s">
        <v>67</v>
      </c>
    </row>
    <row r="30" spans="1:25" x14ac:dyDescent="0.25">
      <c r="B30" t="s">
        <v>46</v>
      </c>
      <c r="C30">
        <v>5</v>
      </c>
      <c r="D30" s="12">
        <v>0.6</v>
      </c>
      <c r="E30" s="13">
        <v>27.6</v>
      </c>
    </row>
    <row r="31" spans="1:25" x14ac:dyDescent="0.25">
      <c r="B31" t="s">
        <v>48</v>
      </c>
      <c r="C31">
        <v>2</v>
      </c>
      <c r="D31" s="12">
        <v>1</v>
      </c>
      <c r="E31" s="13">
        <v>19</v>
      </c>
    </row>
    <row r="32" spans="1:25" x14ac:dyDescent="0.25">
      <c r="B32" t="s">
        <v>47</v>
      </c>
      <c r="C32">
        <v>3</v>
      </c>
      <c r="D32" s="12">
        <v>0</v>
      </c>
      <c r="E32" s="13">
        <v>12.333333333333334</v>
      </c>
    </row>
    <row r="36" spans="1:25" x14ac:dyDescent="0.25">
      <c r="B36" s="3" t="s">
        <v>72</v>
      </c>
    </row>
    <row r="37" spans="1:25" ht="15.75" x14ac:dyDescent="0.25">
      <c r="A37">
        <v>1</v>
      </c>
      <c r="B37" s="18" t="s">
        <v>83</v>
      </c>
    </row>
    <row r="38" spans="1:25" ht="15.75" x14ac:dyDescent="0.25">
      <c r="A38">
        <v>2</v>
      </c>
      <c r="B38" s="18" t="s">
        <v>84</v>
      </c>
    </row>
    <row r="39" spans="1:25" ht="15.75" x14ac:dyDescent="0.25">
      <c r="B39" s="18"/>
    </row>
    <row r="41" spans="1:25" ht="15.75" x14ac:dyDescent="0.25">
      <c r="B41" s="18" t="s">
        <v>76</v>
      </c>
    </row>
    <row r="42" spans="1:25" ht="15.75" x14ac:dyDescent="0.25">
      <c r="A42" t="s">
        <v>75</v>
      </c>
      <c r="B42" s="18" t="s">
        <v>85</v>
      </c>
    </row>
    <row r="43" spans="1:25" ht="15.75" x14ac:dyDescent="0.25">
      <c r="A43" t="s">
        <v>75</v>
      </c>
      <c r="B43" s="18" t="s">
        <v>86</v>
      </c>
    </row>
    <row r="44" spans="1:25" ht="15.75" x14ac:dyDescent="0.25">
      <c r="B44" s="18" t="s">
        <v>77</v>
      </c>
    </row>
    <row r="48" spans="1:25" s="3" customFormat="1" x14ac:dyDescent="0.25">
      <c r="A48" s="15">
        <v>3</v>
      </c>
      <c r="B48" s="15" t="s">
        <v>94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50" spans="1:5" x14ac:dyDescent="0.25">
      <c r="B50" s="22" t="s">
        <v>71</v>
      </c>
      <c r="C50" s="22" t="s">
        <v>97</v>
      </c>
      <c r="D50" s="22" t="s">
        <v>98</v>
      </c>
      <c r="E50" s="22" t="s">
        <v>67</v>
      </c>
    </row>
    <row r="51" spans="1:5" x14ac:dyDescent="0.25">
      <c r="B51" s="6">
        <v>0</v>
      </c>
      <c r="C51" s="7">
        <v>3</v>
      </c>
      <c r="D51" s="12">
        <v>0</v>
      </c>
      <c r="E51" s="23">
        <v>12.333333333333334</v>
      </c>
    </row>
    <row r="52" spans="1:5" x14ac:dyDescent="0.25">
      <c r="B52" s="6">
        <v>1</v>
      </c>
      <c r="C52" s="7">
        <v>2</v>
      </c>
      <c r="D52" s="12">
        <v>0.5</v>
      </c>
      <c r="E52" s="23">
        <v>24</v>
      </c>
    </row>
    <row r="53" spans="1:5" x14ac:dyDescent="0.25">
      <c r="B53" s="6">
        <v>2</v>
      </c>
      <c r="C53" s="7">
        <v>2</v>
      </c>
      <c r="D53" s="12">
        <v>1</v>
      </c>
      <c r="E53" s="23">
        <v>24</v>
      </c>
    </row>
    <row r="54" spans="1:5" x14ac:dyDescent="0.25">
      <c r="B54" s="6">
        <v>3</v>
      </c>
      <c r="C54" s="7">
        <v>2</v>
      </c>
      <c r="D54" s="12">
        <v>0.5</v>
      </c>
      <c r="E54" s="23">
        <v>27.5</v>
      </c>
    </row>
    <row r="55" spans="1:5" x14ac:dyDescent="0.25">
      <c r="B55" s="6">
        <v>4</v>
      </c>
      <c r="C55" s="7">
        <v>1</v>
      </c>
      <c r="D55" s="12">
        <v>1</v>
      </c>
      <c r="E55" s="23">
        <v>25</v>
      </c>
    </row>
    <row r="58" spans="1:5" x14ac:dyDescent="0.25">
      <c r="B58" s="3" t="s">
        <v>72</v>
      </c>
    </row>
    <row r="59" spans="1:5" ht="15.75" x14ac:dyDescent="0.25">
      <c r="A59">
        <v>1</v>
      </c>
      <c r="B59" s="18" t="s">
        <v>87</v>
      </c>
    </row>
    <row r="60" spans="1:5" ht="15.75" x14ac:dyDescent="0.25">
      <c r="A60">
        <v>2</v>
      </c>
      <c r="B60" s="18" t="s">
        <v>88</v>
      </c>
    </row>
    <row r="68" spans="1:25" s="3" customFormat="1" x14ac:dyDescent="0.25">
      <c r="A68" s="15">
        <v>4</v>
      </c>
      <c r="B68" s="15" t="s">
        <v>95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70" spans="1:25" x14ac:dyDescent="0.25">
      <c r="B70" s="21" t="s">
        <v>3</v>
      </c>
      <c r="C70" s="21" t="s">
        <v>97</v>
      </c>
      <c r="D70" s="21" t="s">
        <v>98</v>
      </c>
    </row>
    <row r="71" spans="1:25" x14ac:dyDescent="0.25">
      <c r="B71" s="20" t="s">
        <v>60</v>
      </c>
      <c r="C71" s="7">
        <v>2</v>
      </c>
      <c r="D71" s="12">
        <v>0</v>
      </c>
    </row>
    <row r="72" spans="1:25" x14ac:dyDescent="0.25">
      <c r="B72" s="20" t="s">
        <v>61</v>
      </c>
      <c r="C72" s="7">
        <v>2</v>
      </c>
      <c r="D72" s="12">
        <v>0.5</v>
      </c>
    </row>
    <row r="73" spans="1:25" x14ac:dyDescent="0.25">
      <c r="B73" s="20" t="s">
        <v>62</v>
      </c>
      <c r="C73" s="7">
        <v>1</v>
      </c>
      <c r="D73" s="12">
        <v>1</v>
      </c>
    </row>
    <row r="74" spans="1:25" x14ac:dyDescent="0.25">
      <c r="B74" s="20" t="s">
        <v>63</v>
      </c>
      <c r="C74" s="7">
        <v>5</v>
      </c>
      <c r="D74" s="12">
        <v>0.6</v>
      </c>
    </row>
    <row r="76" spans="1:25" x14ac:dyDescent="0.25">
      <c r="B76" s="3" t="s">
        <v>72</v>
      </c>
    </row>
    <row r="77" spans="1:25" ht="15.75" x14ac:dyDescent="0.25">
      <c r="A77">
        <v>1</v>
      </c>
      <c r="B77" s="18" t="s">
        <v>89</v>
      </c>
    </row>
    <row r="78" spans="1:25" ht="15.75" x14ac:dyDescent="0.25">
      <c r="B78" s="18"/>
    </row>
    <row r="86" spans="1:25" s="3" customFormat="1" x14ac:dyDescent="0.25">
      <c r="A86" s="15">
        <v>5</v>
      </c>
      <c r="B86" s="15" t="s">
        <v>96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8" spans="1:25" x14ac:dyDescent="0.25">
      <c r="B88" s="21" t="s">
        <v>70</v>
      </c>
      <c r="C88" s="21" t="s">
        <v>97</v>
      </c>
      <c r="D88" s="21" t="s">
        <v>98</v>
      </c>
      <c r="E88" s="21" t="s">
        <v>67</v>
      </c>
    </row>
    <row r="89" spans="1:25" x14ac:dyDescent="0.25">
      <c r="B89" s="6" t="s">
        <v>8</v>
      </c>
      <c r="C89" s="7">
        <v>7</v>
      </c>
      <c r="D89" s="12">
        <v>0.7142857142857143</v>
      </c>
      <c r="E89" s="23">
        <v>20.142857142857142</v>
      </c>
    </row>
    <row r="90" spans="1:25" x14ac:dyDescent="0.25">
      <c r="B90" s="6" t="s">
        <v>9</v>
      </c>
      <c r="C90" s="7">
        <v>3</v>
      </c>
      <c r="D90" s="12">
        <v>0</v>
      </c>
      <c r="E90" s="23">
        <v>24</v>
      </c>
    </row>
    <row r="93" spans="1:25" x14ac:dyDescent="0.25">
      <c r="B93" s="3" t="s">
        <v>72</v>
      </c>
    </row>
    <row r="94" spans="1:25" ht="15.75" x14ac:dyDescent="0.25">
      <c r="A94">
        <v>1</v>
      </c>
      <c r="B94" s="18" t="s">
        <v>90</v>
      </c>
    </row>
    <row r="95" spans="1:25" ht="15.75" x14ac:dyDescent="0.25">
      <c r="A95">
        <v>2</v>
      </c>
      <c r="B95" s="18" t="s">
        <v>91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96CA-FC12-4EF8-9A99-52E45EB50DD1}">
  <dimension ref="A3:D46"/>
  <sheetViews>
    <sheetView workbookViewId="0">
      <selection activeCell="C11" sqref="C11"/>
    </sheetView>
  </sheetViews>
  <sheetFormatPr defaultRowHeight="15" x14ac:dyDescent="0.25"/>
  <cols>
    <col min="1" max="1" width="16.28515625" customWidth="1"/>
    <col min="2" max="2" width="20.140625" customWidth="1"/>
    <col min="3" max="3" width="17.7109375" bestFit="1" customWidth="1"/>
    <col min="4" max="4" width="26.140625" bestFit="1" customWidth="1"/>
  </cols>
  <sheetData>
    <row r="3" spans="1:4" x14ac:dyDescent="0.25">
      <c r="A3" s="5" t="s">
        <v>68</v>
      </c>
      <c r="B3" t="s">
        <v>97</v>
      </c>
      <c r="C3" t="s">
        <v>98</v>
      </c>
      <c r="D3" t="s">
        <v>67</v>
      </c>
    </row>
    <row r="4" spans="1:4" x14ac:dyDescent="0.25">
      <c r="A4" s="6" t="s">
        <v>7</v>
      </c>
      <c r="B4" s="7">
        <v>5</v>
      </c>
      <c r="C4" s="12">
        <v>0.6</v>
      </c>
      <c r="D4" s="13">
        <v>27.6</v>
      </c>
    </row>
    <row r="5" spans="1:4" x14ac:dyDescent="0.25">
      <c r="A5" s="6" t="s">
        <v>11</v>
      </c>
      <c r="B5" s="7">
        <v>2</v>
      </c>
      <c r="C5" s="12">
        <v>1</v>
      </c>
      <c r="D5" s="13">
        <v>19</v>
      </c>
    </row>
    <row r="6" spans="1:4" x14ac:dyDescent="0.25">
      <c r="A6" s="6" t="s">
        <v>10</v>
      </c>
      <c r="B6" s="7">
        <v>3</v>
      </c>
      <c r="C6" s="12">
        <v>0</v>
      </c>
      <c r="D6" s="13">
        <v>12.333333333333334</v>
      </c>
    </row>
    <row r="7" spans="1:4" x14ac:dyDescent="0.25">
      <c r="A7" s="6" t="s">
        <v>31</v>
      </c>
      <c r="B7" s="7">
        <v>10</v>
      </c>
      <c r="C7" s="12">
        <v>0.5</v>
      </c>
      <c r="D7" s="13">
        <v>21.3</v>
      </c>
    </row>
    <row r="10" spans="1:4" x14ac:dyDescent="0.25">
      <c r="A10" s="5" t="s">
        <v>64</v>
      </c>
      <c r="B10" t="s">
        <v>97</v>
      </c>
      <c r="C10" t="s">
        <v>98</v>
      </c>
      <c r="D10" t="s">
        <v>67</v>
      </c>
    </row>
    <row r="11" spans="1:4" x14ac:dyDescent="0.25">
      <c r="A11" s="6">
        <v>1</v>
      </c>
      <c r="B11" s="7">
        <v>7</v>
      </c>
      <c r="C11" s="12">
        <v>0.7142857142857143</v>
      </c>
      <c r="D11" s="13">
        <v>25.142857142857142</v>
      </c>
    </row>
    <row r="12" spans="1:4" x14ac:dyDescent="0.25">
      <c r="A12" s="6">
        <v>2</v>
      </c>
      <c r="B12" s="7">
        <v>1</v>
      </c>
      <c r="C12" s="12">
        <v>0</v>
      </c>
      <c r="D12" s="13">
        <v>15</v>
      </c>
    </row>
    <row r="13" spans="1:4" x14ac:dyDescent="0.25">
      <c r="A13" s="6">
        <v>3</v>
      </c>
      <c r="B13" s="7">
        <v>1</v>
      </c>
      <c r="C13" s="12">
        <v>0</v>
      </c>
      <c r="D13" s="13">
        <v>12</v>
      </c>
    </row>
    <row r="14" spans="1:4" x14ac:dyDescent="0.25">
      <c r="A14" s="6">
        <v>4</v>
      </c>
      <c r="B14" s="7">
        <v>1</v>
      </c>
      <c r="C14" s="12">
        <v>0</v>
      </c>
      <c r="D14" s="13">
        <v>10</v>
      </c>
    </row>
    <row r="15" spans="1:4" x14ac:dyDescent="0.25">
      <c r="A15" s="6" t="s">
        <v>31</v>
      </c>
      <c r="B15" s="7">
        <v>10</v>
      </c>
      <c r="C15" s="12">
        <v>0.5</v>
      </c>
      <c r="D15" s="13">
        <v>21.3</v>
      </c>
    </row>
    <row r="16" spans="1:4" x14ac:dyDescent="0.25">
      <c r="A16" s="6"/>
      <c r="B16" s="7"/>
      <c r="C16" s="12"/>
      <c r="D16" s="13"/>
    </row>
    <row r="17" spans="1:4" x14ac:dyDescent="0.25">
      <c r="A17" s="6"/>
      <c r="B17" s="7"/>
      <c r="C17" s="12"/>
      <c r="D17" s="13"/>
    </row>
    <row r="18" spans="1:4" x14ac:dyDescent="0.25">
      <c r="A18" s="5" t="s">
        <v>74</v>
      </c>
      <c r="B18" t="s">
        <v>97</v>
      </c>
      <c r="C18" t="s">
        <v>98</v>
      </c>
      <c r="D18" t="s">
        <v>67</v>
      </c>
    </row>
    <row r="19" spans="1:4" x14ac:dyDescent="0.25">
      <c r="A19" s="6" t="s">
        <v>46</v>
      </c>
      <c r="B19" s="7">
        <v>5</v>
      </c>
      <c r="C19" s="12">
        <v>0.6</v>
      </c>
      <c r="D19" s="13">
        <v>27.6</v>
      </c>
    </row>
    <row r="20" spans="1:4" x14ac:dyDescent="0.25">
      <c r="A20" s="6" t="s">
        <v>47</v>
      </c>
      <c r="B20" s="7">
        <v>3</v>
      </c>
      <c r="C20" s="12">
        <v>0</v>
      </c>
      <c r="D20" s="13">
        <v>12.333333333333334</v>
      </c>
    </row>
    <row r="21" spans="1:4" x14ac:dyDescent="0.25">
      <c r="A21" s="6" t="s">
        <v>48</v>
      </c>
      <c r="B21" s="7">
        <v>2</v>
      </c>
      <c r="C21" s="12">
        <v>1</v>
      </c>
      <c r="D21" s="13">
        <v>19</v>
      </c>
    </row>
    <row r="22" spans="1:4" x14ac:dyDescent="0.25">
      <c r="A22" s="6" t="s">
        <v>31</v>
      </c>
      <c r="B22" s="7">
        <v>10</v>
      </c>
      <c r="C22" s="12">
        <v>0.5</v>
      </c>
      <c r="D22" s="13">
        <v>21.3</v>
      </c>
    </row>
    <row r="26" spans="1:4" x14ac:dyDescent="0.25">
      <c r="A26" s="5" t="s">
        <v>71</v>
      </c>
      <c r="B26" t="s">
        <v>97</v>
      </c>
      <c r="C26" t="s">
        <v>98</v>
      </c>
      <c r="D26" t="s">
        <v>67</v>
      </c>
    </row>
    <row r="27" spans="1:4" x14ac:dyDescent="0.25">
      <c r="A27" s="6">
        <v>0</v>
      </c>
      <c r="B27" s="7">
        <v>3</v>
      </c>
      <c r="C27" s="12">
        <v>0</v>
      </c>
      <c r="D27" s="13">
        <v>12.333333333333334</v>
      </c>
    </row>
    <row r="28" spans="1:4" x14ac:dyDescent="0.25">
      <c r="A28" s="6">
        <v>1</v>
      </c>
      <c r="B28" s="7">
        <v>2</v>
      </c>
      <c r="C28" s="12">
        <v>0.5</v>
      </c>
      <c r="D28" s="13">
        <v>24</v>
      </c>
    </row>
    <row r="29" spans="1:4" x14ac:dyDescent="0.25">
      <c r="A29" s="6">
        <v>2</v>
      </c>
      <c r="B29" s="7">
        <v>2</v>
      </c>
      <c r="C29" s="12">
        <v>1</v>
      </c>
      <c r="D29" s="13">
        <v>24</v>
      </c>
    </row>
    <row r="30" spans="1:4" x14ac:dyDescent="0.25">
      <c r="A30" s="6">
        <v>3</v>
      </c>
      <c r="B30" s="7">
        <v>2</v>
      </c>
      <c r="C30" s="12">
        <v>0.5</v>
      </c>
      <c r="D30" s="13">
        <v>27.5</v>
      </c>
    </row>
    <row r="31" spans="1:4" x14ac:dyDescent="0.25">
      <c r="A31" s="6">
        <v>4</v>
      </c>
      <c r="B31" s="7">
        <v>1</v>
      </c>
      <c r="C31" s="12">
        <v>1</v>
      </c>
      <c r="D31" s="13">
        <v>25</v>
      </c>
    </row>
    <row r="32" spans="1:4" x14ac:dyDescent="0.25">
      <c r="A32" s="6" t="s">
        <v>31</v>
      </c>
      <c r="B32" s="7">
        <v>10</v>
      </c>
      <c r="C32" s="12">
        <v>0.5</v>
      </c>
      <c r="D32" s="13">
        <v>21.3</v>
      </c>
    </row>
    <row r="33" spans="1:4" x14ac:dyDescent="0.25">
      <c r="A33" s="6"/>
      <c r="B33" s="7"/>
      <c r="C33" s="12"/>
      <c r="D33" s="13"/>
    </row>
    <row r="34" spans="1:4" x14ac:dyDescent="0.25">
      <c r="A34" s="6"/>
      <c r="B34" s="7"/>
      <c r="C34" s="12"/>
      <c r="D34" s="13"/>
    </row>
    <row r="35" spans="1:4" x14ac:dyDescent="0.25">
      <c r="A35" s="5" t="s">
        <v>3</v>
      </c>
      <c r="B35" t="s">
        <v>97</v>
      </c>
      <c r="C35" t="s">
        <v>98</v>
      </c>
    </row>
    <row r="36" spans="1:4" x14ac:dyDescent="0.25">
      <c r="A36" s="20" t="s">
        <v>60</v>
      </c>
      <c r="B36" s="7">
        <v>2</v>
      </c>
      <c r="C36" s="12">
        <v>0</v>
      </c>
    </row>
    <row r="37" spans="1:4" x14ac:dyDescent="0.25">
      <c r="A37" s="20" t="s">
        <v>61</v>
      </c>
      <c r="B37" s="7">
        <v>2</v>
      </c>
      <c r="C37" s="12">
        <v>0.5</v>
      </c>
    </row>
    <row r="38" spans="1:4" x14ac:dyDescent="0.25">
      <c r="A38" s="20" t="s">
        <v>62</v>
      </c>
      <c r="B38" s="7">
        <v>1</v>
      </c>
      <c r="C38" s="12">
        <v>1</v>
      </c>
    </row>
    <row r="39" spans="1:4" x14ac:dyDescent="0.25">
      <c r="A39" s="20" t="s">
        <v>63</v>
      </c>
      <c r="B39" s="7">
        <v>5</v>
      </c>
      <c r="C39" s="12">
        <v>0.6</v>
      </c>
      <c r="D39" s="13"/>
    </row>
    <row r="40" spans="1:4" x14ac:dyDescent="0.25">
      <c r="A40" s="20" t="s">
        <v>31</v>
      </c>
      <c r="B40" s="7">
        <v>10</v>
      </c>
      <c r="C40" s="12">
        <v>0.5</v>
      </c>
      <c r="D40" s="13"/>
    </row>
    <row r="41" spans="1:4" x14ac:dyDescent="0.25">
      <c r="A41" s="6"/>
      <c r="B41" s="7"/>
      <c r="C41" s="12"/>
      <c r="D41" s="13"/>
    </row>
    <row r="43" spans="1:4" x14ac:dyDescent="0.25">
      <c r="A43" s="5" t="s">
        <v>70</v>
      </c>
      <c r="B43" t="s">
        <v>97</v>
      </c>
      <c r="C43" t="s">
        <v>98</v>
      </c>
      <c r="D43" t="s">
        <v>67</v>
      </c>
    </row>
    <row r="44" spans="1:4" x14ac:dyDescent="0.25">
      <c r="A44" s="6" t="s">
        <v>8</v>
      </c>
      <c r="B44" s="7">
        <v>7</v>
      </c>
      <c r="C44" s="12">
        <v>0.7142857142857143</v>
      </c>
      <c r="D44" s="13">
        <v>20.142857142857142</v>
      </c>
    </row>
    <row r="45" spans="1:4" x14ac:dyDescent="0.25">
      <c r="A45" s="6" t="s">
        <v>9</v>
      </c>
      <c r="B45" s="7">
        <v>3</v>
      </c>
      <c r="C45" s="12">
        <v>0</v>
      </c>
      <c r="D45" s="13">
        <v>24</v>
      </c>
    </row>
    <row r="46" spans="1:4" x14ac:dyDescent="0.25">
      <c r="A46" s="6" t="s">
        <v>31</v>
      </c>
      <c r="B46" s="7">
        <v>10</v>
      </c>
      <c r="C46" s="12">
        <v>0.5</v>
      </c>
      <c r="D46" s="13">
        <v>21.3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7702-3FDD-49AC-A68C-B81B05A0F75E}">
  <dimension ref="A1:K11"/>
  <sheetViews>
    <sheetView zoomScale="71" workbookViewId="0">
      <selection activeCell="H1" sqref="H1"/>
    </sheetView>
  </sheetViews>
  <sheetFormatPr defaultRowHeight="15" x14ac:dyDescent="0.25"/>
  <cols>
    <col min="1" max="1" width="17.7109375" bestFit="1" customWidth="1"/>
    <col min="2" max="2" width="24.85546875" bestFit="1" customWidth="1"/>
    <col min="3" max="3" width="21" bestFit="1" customWidth="1"/>
    <col min="4" max="4" width="23.140625" bestFit="1" customWidth="1"/>
    <col min="5" max="5" width="38" style="8" bestFit="1" customWidth="1"/>
    <col min="6" max="6" width="33.140625" bestFit="1" customWidth="1"/>
    <col min="7" max="7" width="11.5703125" bestFit="1" customWidth="1"/>
    <col min="8" max="8" width="19.85546875" bestFit="1" customWidth="1"/>
    <col min="9" max="10" width="22.7109375" bestFit="1" customWidth="1"/>
    <col min="11" max="11" width="2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0" t="s">
        <v>6</v>
      </c>
      <c r="H1" s="10" t="s">
        <v>54</v>
      </c>
      <c r="I1" s="10" t="s">
        <v>64</v>
      </c>
      <c r="J1" s="10" t="s">
        <v>66</v>
      </c>
      <c r="K1" s="10" t="s">
        <v>65</v>
      </c>
    </row>
    <row r="2" spans="1:11" x14ac:dyDescent="0.25">
      <c r="A2">
        <v>1001</v>
      </c>
      <c r="B2" t="s">
        <v>7</v>
      </c>
      <c r="C2">
        <v>2</v>
      </c>
      <c r="D2" s="8">
        <v>25</v>
      </c>
      <c r="E2">
        <v>3</v>
      </c>
      <c r="F2" t="s">
        <v>8</v>
      </c>
      <c r="G2" s="9" t="s">
        <v>9</v>
      </c>
      <c r="H2" s="9" t="str">
        <f>IF(Table1[[#This Row],[TenureMonths]]&lt;=6,"0-6 Months",IF(Table1[[#This Row],[TenureMonths]]&lt;=12,"7-12 Months","13+ Months"))</f>
        <v>0-6 Months</v>
      </c>
      <c r="I2" s="9">
        <f>ROUNDUP(Table1[[#This Row],[TenureMonths]]/12,0)</f>
        <v>1</v>
      </c>
      <c r="J2" s="9">
        <f t="shared" ref="J2:J11" si="0">IF(G2="Yes",1,0)</f>
        <v>1</v>
      </c>
      <c r="K2" s="11">
        <f>COUNTIF(Table1[CustomerID],Table1[[#This Row],[CustomerID]])</f>
        <v>1</v>
      </c>
    </row>
    <row r="3" spans="1:11" x14ac:dyDescent="0.25">
      <c r="A3">
        <v>1002</v>
      </c>
      <c r="B3" t="s">
        <v>7</v>
      </c>
      <c r="C3">
        <v>5</v>
      </c>
      <c r="D3" s="8">
        <v>30</v>
      </c>
      <c r="E3">
        <v>1</v>
      </c>
      <c r="F3" t="s">
        <v>9</v>
      </c>
      <c r="G3" s="9" t="s">
        <v>8</v>
      </c>
      <c r="H3" s="9" t="str">
        <f>IF(Table1[[#This Row],[TenureMonths]]&lt;=6,"0-6 Months",IF(Table1[[#This Row],[TenureMonths]]&lt;=12,"7-12 Months","13+ Months"))</f>
        <v>0-6 Months</v>
      </c>
      <c r="I3" s="9">
        <f>ROUNDUP(Table1[[#This Row],[TenureMonths]]/12,0)</f>
        <v>1</v>
      </c>
      <c r="J3" s="9">
        <f t="shared" si="0"/>
        <v>0</v>
      </c>
      <c r="K3" s="11">
        <f>COUNTIF(Table1[CustomerID],Table1[[#This Row],[CustomerID]])</f>
        <v>1</v>
      </c>
    </row>
    <row r="4" spans="1:11" x14ac:dyDescent="0.25">
      <c r="A4">
        <v>1003</v>
      </c>
      <c r="B4" t="s">
        <v>10</v>
      </c>
      <c r="C4">
        <v>24</v>
      </c>
      <c r="D4" s="8">
        <v>15</v>
      </c>
      <c r="E4">
        <v>0</v>
      </c>
      <c r="F4" t="s">
        <v>8</v>
      </c>
      <c r="G4" s="9" t="s">
        <v>8</v>
      </c>
      <c r="H4" s="9" t="str">
        <f>IF(Table1[[#This Row],[TenureMonths]]&lt;=6,"0-6 Months",IF(Table1[[#This Row],[TenureMonths]]&lt;=12,"7-12 Months","13+ Months"))</f>
        <v>13+ Months</v>
      </c>
      <c r="I4" s="9">
        <f>ROUNDUP(Table1[[#This Row],[TenureMonths]]/12,0)</f>
        <v>2</v>
      </c>
      <c r="J4" s="9">
        <f t="shared" si="0"/>
        <v>0</v>
      </c>
      <c r="K4" s="11">
        <f>COUNTIF(Table1[CustomerID],Table1[[#This Row],[CustomerID]])</f>
        <v>1</v>
      </c>
    </row>
    <row r="5" spans="1:11" x14ac:dyDescent="0.25">
      <c r="A5">
        <v>1004</v>
      </c>
      <c r="B5" t="s">
        <v>11</v>
      </c>
      <c r="C5">
        <v>12</v>
      </c>
      <c r="D5" s="8">
        <v>20</v>
      </c>
      <c r="E5">
        <v>2</v>
      </c>
      <c r="F5" t="s">
        <v>8</v>
      </c>
      <c r="G5" s="9" t="s">
        <v>9</v>
      </c>
      <c r="H5" s="9" t="str">
        <f>IF(Table1[[#This Row],[TenureMonths]]&lt;=6,"0-6 Months",IF(Table1[[#This Row],[TenureMonths]]&lt;=12,"7-12 Months","13+ Months"))</f>
        <v>7-12 Months</v>
      </c>
      <c r="I5" s="9">
        <f>ROUNDUP(Table1[[#This Row],[TenureMonths]]/12,0)</f>
        <v>1</v>
      </c>
      <c r="J5" s="9">
        <f t="shared" si="0"/>
        <v>1</v>
      </c>
      <c r="K5" s="11">
        <f>COUNTIF(Table1[CustomerID],Table1[[#This Row],[CustomerID]])</f>
        <v>1</v>
      </c>
    </row>
    <row r="6" spans="1:11" x14ac:dyDescent="0.25">
      <c r="A6">
        <v>1005</v>
      </c>
      <c r="B6" t="s">
        <v>7</v>
      </c>
      <c r="C6">
        <v>1</v>
      </c>
      <c r="D6" s="8">
        <v>25</v>
      </c>
      <c r="E6">
        <v>4</v>
      </c>
      <c r="F6" t="s">
        <v>8</v>
      </c>
      <c r="G6" s="9" t="s">
        <v>9</v>
      </c>
      <c r="H6" s="9" t="str">
        <f>IF(Table1[[#This Row],[TenureMonths]]&lt;=6,"0-6 Months",IF(Table1[[#This Row],[TenureMonths]]&lt;=12,"7-12 Months","13+ Months"))</f>
        <v>0-6 Months</v>
      </c>
      <c r="I6" s="9">
        <f>ROUNDUP(Table1[[#This Row],[TenureMonths]]/12,0)</f>
        <v>1</v>
      </c>
      <c r="J6" s="9">
        <f t="shared" si="0"/>
        <v>1</v>
      </c>
      <c r="K6" s="11">
        <f>COUNTIF(Table1[CustomerID],Table1[[#This Row],[CustomerID]])</f>
        <v>1</v>
      </c>
    </row>
    <row r="7" spans="1:11" x14ac:dyDescent="0.25">
      <c r="A7">
        <v>1006</v>
      </c>
      <c r="B7" t="s">
        <v>10</v>
      </c>
      <c r="C7">
        <v>36</v>
      </c>
      <c r="D7" s="8">
        <v>12</v>
      </c>
      <c r="E7">
        <v>0</v>
      </c>
      <c r="F7" t="s">
        <v>9</v>
      </c>
      <c r="G7" s="9" t="s">
        <v>8</v>
      </c>
      <c r="H7" s="9" t="str">
        <f>IF(Table1[[#This Row],[TenureMonths]]&lt;=6,"0-6 Months",IF(Table1[[#This Row],[TenureMonths]]&lt;=12,"7-12 Months","13+ Months"))</f>
        <v>13+ Months</v>
      </c>
      <c r="I7" s="9">
        <f>ROUNDUP(Table1[[#This Row],[TenureMonths]]/12,0)</f>
        <v>3</v>
      </c>
      <c r="J7" s="9">
        <f t="shared" si="0"/>
        <v>0</v>
      </c>
      <c r="K7" s="11">
        <f>COUNTIF(Table1[CustomerID],Table1[[#This Row],[CustomerID]])</f>
        <v>1</v>
      </c>
    </row>
    <row r="8" spans="1:11" x14ac:dyDescent="0.25">
      <c r="A8">
        <v>1007</v>
      </c>
      <c r="B8" t="s">
        <v>11</v>
      </c>
      <c r="C8">
        <v>8</v>
      </c>
      <c r="D8" s="8">
        <v>18</v>
      </c>
      <c r="E8">
        <v>1</v>
      </c>
      <c r="F8" t="s">
        <v>8</v>
      </c>
      <c r="G8" s="9" t="s">
        <v>9</v>
      </c>
      <c r="H8" s="9" t="str">
        <f>IF(Table1[[#This Row],[TenureMonths]]&lt;=6,"0-6 Months",IF(Table1[[#This Row],[TenureMonths]]&lt;=12,"7-12 Months","13+ Months"))</f>
        <v>7-12 Months</v>
      </c>
      <c r="I8" s="9">
        <f>ROUNDUP(Table1[[#This Row],[TenureMonths]]/12,0)</f>
        <v>1</v>
      </c>
      <c r="J8" s="9">
        <f t="shared" si="0"/>
        <v>1</v>
      </c>
      <c r="K8" s="11">
        <f>COUNTIF(Table1[CustomerID],Table1[[#This Row],[CustomerID]])</f>
        <v>1</v>
      </c>
    </row>
    <row r="9" spans="1:11" x14ac:dyDescent="0.25">
      <c r="A9">
        <v>1008</v>
      </c>
      <c r="B9" t="s">
        <v>7</v>
      </c>
      <c r="C9">
        <v>3</v>
      </c>
      <c r="D9" s="8">
        <v>30</v>
      </c>
      <c r="E9">
        <v>3</v>
      </c>
      <c r="F9" t="s">
        <v>9</v>
      </c>
      <c r="G9" s="9" t="s">
        <v>8</v>
      </c>
      <c r="H9" s="9" t="str">
        <f>IF(Table1[[#This Row],[TenureMonths]]&lt;=6,"0-6 Months",IF(Table1[[#This Row],[TenureMonths]]&lt;=12,"7-12 Months","13+ Months"))</f>
        <v>0-6 Months</v>
      </c>
      <c r="I9" s="9">
        <f>ROUNDUP(Table1[[#This Row],[TenureMonths]]/12,0)</f>
        <v>1</v>
      </c>
      <c r="J9" s="9">
        <f t="shared" si="0"/>
        <v>0</v>
      </c>
      <c r="K9" s="11">
        <f>COUNTIF(Table1[CustomerID],Table1[[#This Row],[CustomerID]])</f>
        <v>1</v>
      </c>
    </row>
    <row r="10" spans="1:11" x14ac:dyDescent="0.25">
      <c r="A10">
        <v>1009</v>
      </c>
      <c r="B10" t="s">
        <v>10</v>
      </c>
      <c r="C10">
        <v>48</v>
      </c>
      <c r="D10" s="8">
        <v>10</v>
      </c>
      <c r="E10">
        <v>0</v>
      </c>
      <c r="F10" t="s">
        <v>8</v>
      </c>
      <c r="G10" s="9" t="s">
        <v>8</v>
      </c>
      <c r="H10" s="9" t="str">
        <f>IF(Table1[[#This Row],[TenureMonths]]&lt;=6,"0-6 Months",IF(Table1[[#This Row],[TenureMonths]]&lt;=12,"7-12 Months","13+ Months"))</f>
        <v>13+ Months</v>
      </c>
      <c r="I10" s="9">
        <f>ROUNDUP(Table1[[#This Row],[TenureMonths]]/12,0)</f>
        <v>4</v>
      </c>
      <c r="J10" s="9">
        <f t="shared" si="0"/>
        <v>0</v>
      </c>
      <c r="K10" s="11">
        <f>COUNTIF(Table1[CustomerID],Table1[[#This Row],[CustomerID]])</f>
        <v>1</v>
      </c>
    </row>
    <row r="11" spans="1:11" x14ac:dyDescent="0.25">
      <c r="A11">
        <v>1010</v>
      </c>
      <c r="B11" t="s">
        <v>7</v>
      </c>
      <c r="C11">
        <v>4</v>
      </c>
      <c r="D11" s="8">
        <v>28</v>
      </c>
      <c r="E11">
        <v>2</v>
      </c>
      <c r="F11" t="s">
        <v>8</v>
      </c>
      <c r="G11" s="9" t="s">
        <v>9</v>
      </c>
      <c r="H11" s="9" t="str">
        <f>IF(Table1[[#This Row],[TenureMonths]]&lt;=6,"0-6 Months",IF(Table1[[#This Row],[TenureMonths]]&lt;=12,"7-12 Months","13+ Months"))</f>
        <v>0-6 Months</v>
      </c>
      <c r="I11" s="9">
        <f>ROUNDUP(Table1[[#This Row],[TenureMonths]]/12,0)</f>
        <v>1</v>
      </c>
      <c r="J11" s="9">
        <f t="shared" si="0"/>
        <v>1</v>
      </c>
      <c r="K11" s="11">
        <f>COUNTIF(Table1[CustomerID],Table1[[#This Row],[CustomerID]])</f>
        <v>1</v>
      </c>
    </row>
  </sheetData>
  <pageMargins left="0.7" right="0.7" top="0.75" bottom="0.75" header="0.3" footer="0.3"/>
  <headerFooter>
    <oddFooter>&amp;L_x000D_&amp;1#&amp;"Calibri"&amp;8&amp;K000000 Sensitivity: MTN Group -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2C08-1F32-47A9-BEAB-594F31F3265A}">
  <dimension ref="A1:J33"/>
  <sheetViews>
    <sheetView zoomScale="71" workbookViewId="0">
      <selection activeCell="G15" sqref="G15"/>
    </sheetView>
  </sheetViews>
  <sheetFormatPr defaultRowHeight="15" outlineLevelRow="2" x14ac:dyDescent="0.25"/>
  <cols>
    <col min="1" max="1" width="25.28515625" customWidth="1"/>
    <col min="2" max="2" width="15.140625" customWidth="1"/>
    <col min="3" max="3" width="14.42578125" customWidth="1"/>
    <col min="4" max="4" width="17.7109375" customWidth="1"/>
    <col min="5" max="5" width="21.5703125" customWidth="1"/>
    <col min="6" max="6" width="20.85546875" customWidth="1"/>
    <col min="7" max="8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12</v>
      </c>
      <c r="J1" t="s">
        <v>33</v>
      </c>
    </row>
    <row r="2" spans="1:10" outlineLevel="2" x14ac:dyDescent="0.25">
      <c r="A2">
        <v>1001</v>
      </c>
      <c r="B2" t="s">
        <v>7</v>
      </c>
      <c r="C2">
        <v>2</v>
      </c>
      <c r="D2">
        <v>25</v>
      </c>
      <c r="E2">
        <v>3</v>
      </c>
      <c r="F2" t="s">
        <v>8</v>
      </c>
      <c r="G2" t="s">
        <v>9</v>
      </c>
      <c r="H2">
        <v>1</v>
      </c>
      <c r="I2">
        <f>IF(G2 ="Yes",1,0)</f>
        <v>1</v>
      </c>
    </row>
    <row r="3" spans="1:10" outlineLevel="2" x14ac:dyDescent="0.25">
      <c r="A3">
        <v>1002</v>
      </c>
      <c r="B3" t="s">
        <v>7</v>
      </c>
      <c r="C3">
        <v>5</v>
      </c>
      <c r="D3">
        <v>30</v>
      </c>
      <c r="E3">
        <v>1</v>
      </c>
      <c r="F3" t="s">
        <v>9</v>
      </c>
      <c r="G3" t="s">
        <v>8</v>
      </c>
      <c r="H3">
        <v>1</v>
      </c>
      <c r="I3">
        <f>IF(G3 ="Yes",1,0)</f>
        <v>0</v>
      </c>
    </row>
    <row r="4" spans="1:10" outlineLevel="2" x14ac:dyDescent="0.25">
      <c r="A4">
        <v>1005</v>
      </c>
      <c r="B4" t="s">
        <v>7</v>
      </c>
      <c r="C4">
        <v>1</v>
      </c>
      <c r="D4">
        <v>25</v>
      </c>
      <c r="E4">
        <v>4</v>
      </c>
      <c r="F4" t="s">
        <v>8</v>
      </c>
      <c r="G4" t="s">
        <v>9</v>
      </c>
      <c r="H4">
        <v>1</v>
      </c>
      <c r="I4">
        <f>IF(G4 ="Yes",1,0)</f>
        <v>1</v>
      </c>
    </row>
    <row r="5" spans="1:10" outlineLevel="2" x14ac:dyDescent="0.25">
      <c r="A5">
        <v>1008</v>
      </c>
      <c r="B5" t="s">
        <v>7</v>
      </c>
      <c r="C5">
        <v>3</v>
      </c>
      <c r="D5">
        <v>30</v>
      </c>
      <c r="E5">
        <v>3</v>
      </c>
      <c r="F5" t="s">
        <v>9</v>
      </c>
      <c r="G5" t="s">
        <v>8</v>
      </c>
      <c r="H5">
        <v>1</v>
      </c>
      <c r="I5">
        <f>IF(G5 ="Yes",1,0)</f>
        <v>0</v>
      </c>
    </row>
    <row r="6" spans="1:10" outlineLevel="2" x14ac:dyDescent="0.25">
      <c r="A6">
        <v>1010</v>
      </c>
      <c r="B6" t="s">
        <v>7</v>
      </c>
      <c r="C6">
        <v>4</v>
      </c>
      <c r="D6">
        <v>28</v>
      </c>
      <c r="E6">
        <v>2</v>
      </c>
      <c r="F6" t="s">
        <v>8</v>
      </c>
      <c r="G6" t="s">
        <v>9</v>
      </c>
      <c r="H6">
        <v>1</v>
      </c>
      <c r="I6">
        <f>IF(G6 ="Yes",1,0)</f>
        <v>1</v>
      </c>
    </row>
    <row r="7" spans="1:10" outlineLevel="1" x14ac:dyDescent="0.25">
      <c r="B7" s="3" t="s">
        <v>28</v>
      </c>
      <c r="H7">
        <f>SUBTOTAL(9,H2:H6)</f>
        <v>5</v>
      </c>
      <c r="I7">
        <f>SUBTOTAL(9,I2:I6)</f>
        <v>3</v>
      </c>
      <c r="J7" s="1">
        <f>I7/H7</f>
        <v>0.6</v>
      </c>
    </row>
    <row r="8" spans="1:10" outlineLevel="2" x14ac:dyDescent="0.25">
      <c r="A8">
        <v>1004</v>
      </c>
      <c r="B8" t="s">
        <v>11</v>
      </c>
      <c r="C8">
        <v>12</v>
      </c>
      <c r="D8">
        <v>20</v>
      </c>
      <c r="E8">
        <v>2</v>
      </c>
      <c r="F8" t="s">
        <v>8</v>
      </c>
      <c r="G8" t="s">
        <v>9</v>
      </c>
      <c r="H8">
        <v>1</v>
      </c>
      <c r="I8">
        <f>IF(G8 ="Yes",1,0)</f>
        <v>1</v>
      </c>
    </row>
    <row r="9" spans="1:10" outlineLevel="2" x14ac:dyDescent="0.25">
      <c r="A9">
        <v>1007</v>
      </c>
      <c r="B9" t="s">
        <v>11</v>
      </c>
      <c r="C9">
        <v>8</v>
      </c>
      <c r="D9">
        <v>18</v>
      </c>
      <c r="E9">
        <v>1</v>
      </c>
      <c r="F9" t="s">
        <v>8</v>
      </c>
      <c r="G9" t="s">
        <v>9</v>
      </c>
      <c r="H9">
        <v>1</v>
      </c>
      <c r="I9">
        <f>IF(G9 ="Yes",1,0)</f>
        <v>1</v>
      </c>
    </row>
    <row r="10" spans="1:10" outlineLevel="1" x14ac:dyDescent="0.25">
      <c r="B10" s="3" t="s">
        <v>30</v>
      </c>
      <c r="H10">
        <f>SUBTOTAL(9,H8:H9)</f>
        <v>2</v>
      </c>
      <c r="I10">
        <f>SUBTOTAL(9,I8:I9)</f>
        <v>2</v>
      </c>
      <c r="J10" s="1">
        <f>I10/H10</f>
        <v>1</v>
      </c>
    </row>
    <row r="11" spans="1:10" outlineLevel="2" x14ac:dyDescent="0.25">
      <c r="A11">
        <v>1003</v>
      </c>
      <c r="B11" t="s">
        <v>10</v>
      </c>
      <c r="C11">
        <v>24</v>
      </c>
      <c r="D11">
        <v>15</v>
      </c>
      <c r="E11">
        <v>0</v>
      </c>
      <c r="F11" t="s">
        <v>8</v>
      </c>
      <c r="G11" t="s">
        <v>8</v>
      </c>
      <c r="H11">
        <v>1</v>
      </c>
      <c r="I11">
        <f>IF(G11 ="Yes",1,0)</f>
        <v>0</v>
      </c>
    </row>
    <row r="12" spans="1:10" outlineLevel="2" x14ac:dyDescent="0.25">
      <c r="A12">
        <v>1006</v>
      </c>
      <c r="B12" t="s">
        <v>10</v>
      </c>
      <c r="C12">
        <v>36</v>
      </c>
      <c r="D12">
        <v>12</v>
      </c>
      <c r="E12">
        <v>0</v>
      </c>
      <c r="F12" t="s">
        <v>9</v>
      </c>
      <c r="G12" t="s">
        <v>8</v>
      </c>
      <c r="H12">
        <v>1</v>
      </c>
      <c r="I12">
        <f>IF(G12 ="Yes",1,0)</f>
        <v>0</v>
      </c>
    </row>
    <row r="13" spans="1:10" outlineLevel="2" x14ac:dyDescent="0.25">
      <c r="A13">
        <v>1009</v>
      </c>
      <c r="B13" t="s">
        <v>10</v>
      </c>
      <c r="C13">
        <v>48</v>
      </c>
      <c r="D13">
        <v>10</v>
      </c>
      <c r="E13">
        <v>0</v>
      </c>
      <c r="F13" t="s">
        <v>8</v>
      </c>
      <c r="G13" t="s">
        <v>8</v>
      </c>
      <c r="H13">
        <v>1</v>
      </c>
      <c r="I13">
        <f>IF(G13 ="Yes",1,0)</f>
        <v>0</v>
      </c>
    </row>
    <row r="14" spans="1:10" outlineLevel="1" x14ac:dyDescent="0.25">
      <c r="B14" s="3" t="s">
        <v>29</v>
      </c>
      <c r="H14">
        <f>SUBTOTAL(9,H11:H13)</f>
        <v>3</v>
      </c>
      <c r="I14">
        <f>SUBTOTAL(9,I11:I13)</f>
        <v>0</v>
      </c>
      <c r="J14" s="1">
        <f>I14/H14</f>
        <v>0</v>
      </c>
    </row>
    <row r="15" spans="1:10" x14ac:dyDescent="0.25">
      <c r="B15" s="3" t="s">
        <v>31</v>
      </c>
      <c r="H15">
        <f>SUBTOTAL(9,H2:H13)</f>
        <v>10</v>
      </c>
      <c r="I15">
        <f>SUBTOTAL(9,I2:I13)</f>
        <v>5</v>
      </c>
      <c r="J15" s="1">
        <f>I15/H15</f>
        <v>0.5</v>
      </c>
    </row>
    <row r="18" spans="1:2" ht="30" x14ac:dyDescent="0.25">
      <c r="A18" s="2" t="s">
        <v>14</v>
      </c>
      <c r="B18">
        <f>10</f>
        <v>10</v>
      </c>
    </row>
    <row r="19" spans="1:2" ht="30" x14ac:dyDescent="0.25">
      <c r="A19" s="2" t="s">
        <v>17</v>
      </c>
      <c r="B19">
        <v>5</v>
      </c>
    </row>
    <row r="20" spans="1:2" ht="30" x14ac:dyDescent="0.25">
      <c r="A20" s="2" t="s">
        <v>18</v>
      </c>
      <c r="B20">
        <v>2</v>
      </c>
    </row>
    <row r="21" spans="1:2" ht="30" x14ac:dyDescent="0.25">
      <c r="A21" s="2" t="s">
        <v>19</v>
      </c>
      <c r="B21">
        <v>3</v>
      </c>
    </row>
    <row r="24" spans="1:2" ht="30" x14ac:dyDescent="0.25">
      <c r="A24" s="2" t="s">
        <v>21</v>
      </c>
      <c r="B24">
        <f>5</f>
        <v>5</v>
      </c>
    </row>
    <row r="25" spans="1:2" ht="30" x14ac:dyDescent="0.25">
      <c r="A25" s="2" t="s">
        <v>13</v>
      </c>
      <c r="B25">
        <f>5</f>
        <v>5</v>
      </c>
    </row>
    <row r="26" spans="1:2" x14ac:dyDescent="0.25">
      <c r="A26" t="s">
        <v>22</v>
      </c>
      <c r="B26">
        <v>3</v>
      </c>
    </row>
    <row r="27" spans="1:2" x14ac:dyDescent="0.25">
      <c r="A27" t="s">
        <v>23</v>
      </c>
      <c r="B27">
        <v>2</v>
      </c>
    </row>
    <row r="28" spans="1:2" x14ac:dyDescent="0.25">
      <c r="A28" t="s">
        <v>24</v>
      </c>
      <c r="B28">
        <v>0</v>
      </c>
    </row>
    <row r="29" spans="1:2" ht="75" x14ac:dyDescent="0.25">
      <c r="A29" s="2" t="s">
        <v>15</v>
      </c>
      <c r="B29" s="2" t="s">
        <v>16</v>
      </c>
    </row>
    <row r="30" spans="1:2" x14ac:dyDescent="0.25">
      <c r="A30" s="2" t="s">
        <v>20</v>
      </c>
      <c r="B30" s="1">
        <f>(5/10)</f>
        <v>0.5</v>
      </c>
    </row>
    <row r="31" spans="1:2" x14ac:dyDescent="0.25">
      <c r="A31" t="s">
        <v>25</v>
      </c>
      <c r="B31" s="1">
        <f>3/5</f>
        <v>0.6</v>
      </c>
    </row>
    <row r="32" spans="1:2" x14ac:dyDescent="0.25">
      <c r="A32" t="s">
        <v>26</v>
      </c>
      <c r="B32" s="1">
        <f>2/2</f>
        <v>1</v>
      </c>
    </row>
    <row r="33" spans="1:2" x14ac:dyDescent="0.25">
      <c r="A33" t="s">
        <v>27</v>
      </c>
      <c r="B33" s="1">
        <f>0/3</f>
        <v>0</v>
      </c>
    </row>
  </sheetData>
  <phoneticPr fontId="18" type="noConversion"/>
  <pageMargins left="0.7" right="0.7" top="0.75" bottom="0.75" header="0.3" footer="0.3"/>
  <pageSetup orientation="portrait" r:id="rId1"/>
  <headerFooter>
    <oddFooter>&amp;L_x000D_&amp;1#&amp;"Calibri"&amp;8&amp;K000000 Sensitivity: MTN Group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1D23-B135-44C4-964F-17A1EE477AA1}">
  <dimension ref="A1:I56"/>
  <sheetViews>
    <sheetView zoomScale="71" workbookViewId="0">
      <selection activeCell="A36" sqref="A36"/>
    </sheetView>
  </sheetViews>
  <sheetFormatPr defaultRowHeight="15" x14ac:dyDescent="0.25"/>
  <cols>
    <col min="1" max="1" width="20.5703125" customWidth="1"/>
    <col min="2" max="2" width="18.7109375" bestFit="1" customWidth="1"/>
    <col min="3" max="3" width="14.5703125" bestFit="1" customWidth="1"/>
    <col min="4" max="4" width="24.85546875" bestFit="1" customWidth="1"/>
    <col min="5" max="5" width="14.28515625" bestFit="1" customWidth="1"/>
    <col min="6" max="6" width="31.5703125" bestFit="1" customWidth="1"/>
    <col min="7" max="7" width="20.7109375" bestFit="1" customWidth="1"/>
    <col min="8" max="8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44</v>
      </c>
      <c r="E1" t="s">
        <v>3</v>
      </c>
      <c r="F1" t="s">
        <v>4</v>
      </c>
      <c r="G1" t="s">
        <v>5</v>
      </c>
      <c r="H1" t="s">
        <v>6</v>
      </c>
      <c r="I1" t="s">
        <v>49</v>
      </c>
    </row>
    <row r="2" spans="1:9" x14ac:dyDescent="0.25">
      <c r="A2">
        <v>1001</v>
      </c>
      <c r="B2" t="s">
        <v>7</v>
      </c>
      <c r="C2">
        <v>2</v>
      </c>
      <c r="D2" t="str">
        <f>IF(C2&lt;=6,"0-6 Months",IF(C2&lt;=12,"7-12 Months","13+ Months"))</f>
        <v>0-6 Months</v>
      </c>
      <c r="E2">
        <v>25</v>
      </c>
      <c r="F2">
        <v>3</v>
      </c>
      <c r="G2" t="s">
        <v>8</v>
      </c>
      <c r="H2" t="s">
        <v>9</v>
      </c>
      <c r="I2">
        <f>IF(H2="Yes",1,0)</f>
        <v>1</v>
      </c>
    </row>
    <row r="3" spans="1:9" x14ac:dyDescent="0.25">
      <c r="A3">
        <v>1002</v>
      </c>
      <c r="B3" t="s">
        <v>7</v>
      </c>
      <c r="C3">
        <v>5</v>
      </c>
      <c r="D3" t="str">
        <f t="shared" ref="D3:D11" si="0">IF(C3&lt;=6,"0-6 Months",IF(C3&lt;=12,"7-12 Months","13+ Months"))</f>
        <v>0-6 Months</v>
      </c>
      <c r="E3">
        <v>30</v>
      </c>
      <c r="F3">
        <v>1</v>
      </c>
      <c r="G3" t="s">
        <v>9</v>
      </c>
      <c r="H3" t="s">
        <v>8</v>
      </c>
      <c r="I3">
        <f t="shared" ref="I3:I11" si="1">IF(H3="Yes",1,0)</f>
        <v>0</v>
      </c>
    </row>
    <row r="4" spans="1:9" x14ac:dyDescent="0.25">
      <c r="A4">
        <v>1005</v>
      </c>
      <c r="B4" t="s">
        <v>7</v>
      </c>
      <c r="C4">
        <v>1</v>
      </c>
      <c r="D4" t="str">
        <f t="shared" si="0"/>
        <v>0-6 Months</v>
      </c>
      <c r="E4">
        <v>25</v>
      </c>
      <c r="F4">
        <v>4</v>
      </c>
      <c r="G4" t="s">
        <v>8</v>
      </c>
      <c r="H4" t="s">
        <v>9</v>
      </c>
      <c r="I4">
        <f t="shared" si="1"/>
        <v>1</v>
      </c>
    </row>
    <row r="5" spans="1:9" x14ac:dyDescent="0.25">
      <c r="A5">
        <v>1008</v>
      </c>
      <c r="B5" t="s">
        <v>7</v>
      </c>
      <c r="C5">
        <v>3</v>
      </c>
      <c r="D5" t="str">
        <f t="shared" si="0"/>
        <v>0-6 Months</v>
      </c>
      <c r="E5">
        <v>30</v>
      </c>
      <c r="F5">
        <v>3</v>
      </c>
      <c r="G5" t="s">
        <v>9</v>
      </c>
      <c r="H5" t="s">
        <v>8</v>
      </c>
      <c r="I5">
        <f t="shared" si="1"/>
        <v>0</v>
      </c>
    </row>
    <row r="6" spans="1:9" x14ac:dyDescent="0.25">
      <c r="A6">
        <v>1010</v>
      </c>
      <c r="B6" t="s">
        <v>7</v>
      </c>
      <c r="C6">
        <v>4</v>
      </c>
      <c r="D6" t="str">
        <f t="shared" si="0"/>
        <v>0-6 Months</v>
      </c>
      <c r="E6">
        <v>28</v>
      </c>
      <c r="F6">
        <v>2</v>
      </c>
      <c r="G6" t="s">
        <v>8</v>
      </c>
      <c r="H6" t="s">
        <v>9</v>
      </c>
      <c r="I6">
        <f t="shared" si="1"/>
        <v>1</v>
      </c>
    </row>
    <row r="7" spans="1:9" x14ac:dyDescent="0.25">
      <c r="A7">
        <v>1004</v>
      </c>
      <c r="B7" t="s">
        <v>11</v>
      </c>
      <c r="C7">
        <v>12</v>
      </c>
      <c r="D7" t="str">
        <f t="shared" si="0"/>
        <v>7-12 Months</v>
      </c>
      <c r="E7">
        <v>20</v>
      </c>
      <c r="F7">
        <v>2</v>
      </c>
      <c r="G7" t="s">
        <v>8</v>
      </c>
      <c r="H7" t="s">
        <v>9</v>
      </c>
      <c r="I7">
        <f t="shared" si="1"/>
        <v>1</v>
      </c>
    </row>
    <row r="8" spans="1:9" x14ac:dyDescent="0.25">
      <c r="A8">
        <v>1007</v>
      </c>
      <c r="B8" t="s">
        <v>11</v>
      </c>
      <c r="C8">
        <v>8</v>
      </c>
      <c r="D8" t="str">
        <f t="shared" si="0"/>
        <v>7-12 Months</v>
      </c>
      <c r="E8">
        <v>18</v>
      </c>
      <c r="F8">
        <v>1</v>
      </c>
      <c r="G8" t="s">
        <v>8</v>
      </c>
      <c r="H8" t="s">
        <v>9</v>
      </c>
      <c r="I8">
        <f t="shared" si="1"/>
        <v>1</v>
      </c>
    </row>
    <row r="9" spans="1:9" x14ac:dyDescent="0.25">
      <c r="A9">
        <v>1003</v>
      </c>
      <c r="B9" t="s">
        <v>10</v>
      </c>
      <c r="C9">
        <v>24</v>
      </c>
      <c r="D9" t="str">
        <f t="shared" si="0"/>
        <v>13+ Months</v>
      </c>
      <c r="E9">
        <v>15</v>
      </c>
      <c r="F9">
        <v>0</v>
      </c>
      <c r="G9" t="s">
        <v>8</v>
      </c>
      <c r="H9" t="s">
        <v>8</v>
      </c>
      <c r="I9">
        <f t="shared" si="1"/>
        <v>0</v>
      </c>
    </row>
    <row r="10" spans="1:9" x14ac:dyDescent="0.25">
      <c r="A10">
        <v>1006</v>
      </c>
      <c r="B10" t="s">
        <v>10</v>
      </c>
      <c r="C10">
        <v>36</v>
      </c>
      <c r="D10" t="str">
        <f t="shared" si="0"/>
        <v>13+ Months</v>
      </c>
      <c r="E10">
        <v>12</v>
      </c>
      <c r="F10">
        <v>0</v>
      </c>
      <c r="G10" t="s">
        <v>9</v>
      </c>
      <c r="H10" t="s">
        <v>8</v>
      </c>
      <c r="I10">
        <f t="shared" si="1"/>
        <v>0</v>
      </c>
    </row>
    <row r="11" spans="1:9" x14ac:dyDescent="0.25">
      <c r="A11">
        <v>1009</v>
      </c>
      <c r="B11" t="s">
        <v>10</v>
      </c>
      <c r="C11">
        <v>48</v>
      </c>
      <c r="D11" t="str">
        <f t="shared" si="0"/>
        <v>13+ Months</v>
      </c>
      <c r="E11">
        <v>10</v>
      </c>
      <c r="F11">
        <v>0</v>
      </c>
      <c r="G11" t="s">
        <v>8</v>
      </c>
      <c r="H11" t="s">
        <v>8</v>
      </c>
      <c r="I11">
        <f t="shared" si="1"/>
        <v>0</v>
      </c>
    </row>
    <row r="18" spans="1:9" x14ac:dyDescent="0.25">
      <c r="A18" s="5" t="s">
        <v>45</v>
      </c>
      <c r="B18" t="s">
        <v>53</v>
      </c>
      <c r="C18" t="s">
        <v>52</v>
      </c>
      <c r="D18" t="s">
        <v>50</v>
      </c>
    </row>
    <row r="19" spans="1:9" x14ac:dyDescent="0.25">
      <c r="A19" s="6" t="s">
        <v>46</v>
      </c>
      <c r="B19" s="7">
        <v>5</v>
      </c>
      <c r="C19" s="7">
        <v>3</v>
      </c>
      <c r="D19" s="1">
        <f>C19/B19</f>
        <v>0.6</v>
      </c>
    </row>
    <row r="20" spans="1:9" x14ac:dyDescent="0.25">
      <c r="A20" s="6" t="s">
        <v>47</v>
      </c>
      <c r="B20" s="7">
        <v>3</v>
      </c>
      <c r="C20" s="7">
        <v>0</v>
      </c>
      <c r="D20" s="1">
        <f t="shared" ref="D20:D21" si="2">C20/B20</f>
        <v>0</v>
      </c>
    </row>
    <row r="21" spans="1:9" x14ac:dyDescent="0.25">
      <c r="A21" s="6" t="s">
        <v>48</v>
      </c>
      <c r="B21" s="7">
        <v>2</v>
      </c>
      <c r="C21" s="7">
        <v>2</v>
      </c>
      <c r="D21" s="1">
        <f t="shared" si="2"/>
        <v>1</v>
      </c>
      <c r="I21" s="1"/>
    </row>
    <row r="22" spans="1:9" x14ac:dyDescent="0.25">
      <c r="A22" s="6" t="s">
        <v>31</v>
      </c>
      <c r="B22" s="7">
        <v>10</v>
      </c>
      <c r="C22" s="7">
        <v>5</v>
      </c>
      <c r="D22" s="1">
        <f>C22/B22</f>
        <v>0.5</v>
      </c>
    </row>
    <row r="24" spans="1:9" x14ac:dyDescent="0.25">
      <c r="I24" s="1"/>
    </row>
    <row r="25" spans="1:9" x14ac:dyDescent="0.25">
      <c r="D25" s="4"/>
    </row>
    <row r="26" spans="1:9" x14ac:dyDescent="0.25">
      <c r="D26" s="4"/>
    </row>
    <row r="27" spans="1:9" x14ac:dyDescent="0.25">
      <c r="A27" s="5" t="s">
        <v>44</v>
      </c>
      <c r="B27" t="s">
        <v>52</v>
      </c>
      <c r="I27" s="1"/>
    </row>
    <row r="28" spans="1:9" x14ac:dyDescent="0.25">
      <c r="A28" s="6" t="s">
        <v>46</v>
      </c>
      <c r="B28" s="1">
        <v>0.6</v>
      </c>
    </row>
    <row r="29" spans="1:9" x14ac:dyDescent="0.25">
      <c r="A29" s="6" t="s">
        <v>47</v>
      </c>
      <c r="B29" s="1">
        <v>0</v>
      </c>
    </row>
    <row r="30" spans="1:9" x14ac:dyDescent="0.25">
      <c r="A30" s="6" t="s">
        <v>48</v>
      </c>
      <c r="B30" s="1">
        <v>0.4</v>
      </c>
      <c r="I30" s="1"/>
    </row>
    <row r="31" spans="1:9" x14ac:dyDescent="0.25">
      <c r="A31" s="6" t="s">
        <v>31</v>
      </c>
      <c r="B31" s="1">
        <v>1</v>
      </c>
    </row>
    <row r="32" spans="1:9" x14ac:dyDescent="0.25">
      <c r="I32" s="1"/>
    </row>
    <row r="34" spans="1:4" x14ac:dyDescent="0.25">
      <c r="D34" s="4"/>
    </row>
    <row r="35" spans="1:4" x14ac:dyDescent="0.25">
      <c r="A35" s="5" t="s">
        <v>2</v>
      </c>
      <c r="B35" t="s">
        <v>52</v>
      </c>
      <c r="D35" s="4"/>
    </row>
    <row r="36" spans="1:4" x14ac:dyDescent="0.25">
      <c r="A36" s="6" t="s">
        <v>59</v>
      </c>
      <c r="B36" s="1">
        <v>0.6</v>
      </c>
    </row>
    <row r="37" spans="1:4" x14ac:dyDescent="0.25">
      <c r="A37" s="6" t="s">
        <v>58</v>
      </c>
      <c r="B37" s="1">
        <v>0.4</v>
      </c>
    </row>
    <row r="38" spans="1:4" x14ac:dyDescent="0.25">
      <c r="A38" s="6" t="s">
        <v>55</v>
      </c>
      <c r="B38" s="1">
        <v>0</v>
      </c>
    </row>
    <row r="39" spans="1:4" x14ac:dyDescent="0.25">
      <c r="A39" s="6" t="s">
        <v>56</v>
      </c>
      <c r="B39" s="1">
        <v>0</v>
      </c>
    </row>
    <row r="40" spans="1:4" x14ac:dyDescent="0.25">
      <c r="A40" s="6" t="s">
        <v>57</v>
      </c>
      <c r="B40" s="1">
        <v>0</v>
      </c>
    </row>
    <row r="41" spans="1:4" x14ac:dyDescent="0.25">
      <c r="A41" s="6" t="s">
        <v>31</v>
      </c>
      <c r="B41" s="1">
        <v>1</v>
      </c>
    </row>
    <row r="47" spans="1:4" x14ac:dyDescent="0.25">
      <c r="A47" s="2"/>
    </row>
    <row r="48" spans="1:4" x14ac:dyDescent="0.25">
      <c r="A48" s="2"/>
    </row>
    <row r="52" spans="1:2" x14ac:dyDescent="0.25">
      <c r="A52" s="2"/>
      <c r="B52" s="2"/>
    </row>
    <row r="53" spans="1:2" x14ac:dyDescent="0.25">
      <c r="A53" s="2"/>
      <c r="B53" s="1"/>
    </row>
    <row r="54" spans="1:2" x14ac:dyDescent="0.25">
      <c r="B54" s="1"/>
    </row>
    <row r="55" spans="1:2" x14ac:dyDescent="0.25">
      <c r="B55" s="1"/>
    </row>
    <row r="56" spans="1:2" x14ac:dyDescent="0.25">
      <c r="B56" s="1"/>
    </row>
  </sheetData>
  <pageMargins left="0.7" right="0.7" top="0.75" bottom="0.75" header="0.3" footer="0.3"/>
  <pageSetup orientation="portrait" r:id="rId4"/>
  <headerFooter>
    <oddFooter>&amp;L_x000D_&amp;1#&amp;"Calibri"&amp;8&amp;K000000 Sensitivity: MTN Group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BF1C-E1E2-4E69-8777-ED83CEBD8B97}">
  <dimension ref="A1:J25"/>
  <sheetViews>
    <sheetView zoomScale="71" workbookViewId="0">
      <selection activeCell="E25" sqref="E25"/>
    </sheetView>
  </sheetViews>
  <sheetFormatPr defaultRowHeight="15" x14ac:dyDescent="0.25"/>
  <cols>
    <col min="1" max="1" width="25.28515625" customWidth="1"/>
    <col min="2" max="2" width="15.140625" customWidth="1"/>
    <col min="3" max="3" width="14.42578125" customWidth="1"/>
    <col min="4" max="4" width="17.7109375" customWidth="1"/>
    <col min="5" max="5" width="21.5703125" customWidth="1"/>
    <col min="6" max="6" width="20.85546875" customWidth="1"/>
    <col min="7" max="8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12</v>
      </c>
      <c r="J1" t="s">
        <v>33</v>
      </c>
    </row>
    <row r="2" spans="1:10" x14ac:dyDescent="0.25">
      <c r="A2">
        <v>1003</v>
      </c>
      <c r="B2" t="s">
        <v>10</v>
      </c>
      <c r="C2">
        <v>24</v>
      </c>
      <c r="D2">
        <v>15</v>
      </c>
      <c r="E2">
        <v>0</v>
      </c>
      <c r="F2" t="s">
        <v>8</v>
      </c>
      <c r="G2" t="s">
        <v>8</v>
      </c>
      <c r="H2">
        <v>1</v>
      </c>
      <c r="I2">
        <f>IF(G2 ="Yes",1,0)</f>
        <v>0</v>
      </c>
    </row>
    <row r="3" spans="1:10" x14ac:dyDescent="0.25">
      <c r="A3">
        <v>1006</v>
      </c>
      <c r="B3" t="s">
        <v>10</v>
      </c>
      <c r="C3">
        <v>36</v>
      </c>
      <c r="D3">
        <v>12</v>
      </c>
      <c r="E3">
        <v>0</v>
      </c>
      <c r="F3" t="s">
        <v>9</v>
      </c>
      <c r="G3" t="s">
        <v>8</v>
      </c>
      <c r="H3">
        <v>1</v>
      </c>
      <c r="I3">
        <f>IF(G3 ="Yes",1,0)</f>
        <v>0</v>
      </c>
    </row>
    <row r="4" spans="1:10" x14ac:dyDescent="0.25">
      <c r="A4">
        <v>1009</v>
      </c>
      <c r="B4" t="s">
        <v>10</v>
      </c>
      <c r="C4">
        <v>48</v>
      </c>
      <c r="D4">
        <v>10</v>
      </c>
      <c r="E4">
        <v>0</v>
      </c>
      <c r="F4" t="s">
        <v>8</v>
      </c>
      <c r="G4" t="s">
        <v>8</v>
      </c>
      <c r="H4">
        <v>1</v>
      </c>
      <c r="I4">
        <f>IF(G4 ="Yes",1,0)</f>
        <v>0</v>
      </c>
    </row>
    <row r="5" spans="1:10" x14ac:dyDescent="0.25">
      <c r="E5" s="3" t="s">
        <v>38</v>
      </c>
      <c r="H5">
        <f>SUBTOTAL(9,H2:H4)</f>
        <v>3</v>
      </c>
      <c r="I5">
        <f>SUBTOTAL(9,I2:I4)</f>
        <v>0</v>
      </c>
      <c r="J5" s="1">
        <f>I5/H5</f>
        <v>0</v>
      </c>
    </row>
    <row r="6" spans="1:10" x14ac:dyDescent="0.25">
      <c r="A6">
        <v>1002</v>
      </c>
      <c r="B6" t="s">
        <v>7</v>
      </c>
      <c r="C6">
        <v>5</v>
      </c>
      <c r="D6">
        <v>30</v>
      </c>
      <c r="E6">
        <v>1</v>
      </c>
      <c r="F6" t="s">
        <v>9</v>
      </c>
      <c r="G6" t="s">
        <v>8</v>
      </c>
      <c r="H6">
        <v>1</v>
      </c>
      <c r="I6">
        <f>IF(G6 ="Yes",1,0)</f>
        <v>0</v>
      </c>
    </row>
    <row r="7" spans="1:10" x14ac:dyDescent="0.25">
      <c r="A7">
        <v>1007</v>
      </c>
      <c r="B7" t="s">
        <v>11</v>
      </c>
      <c r="C7">
        <v>8</v>
      </c>
      <c r="D7">
        <v>18</v>
      </c>
      <c r="E7">
        <v>1</v>
      </c>
      <c r="F7" t="s">
        <v>8</v>
      </c>
      <c r="G7" t="s">
        <v>9</v>
      </c>
      <c r="H7">
        <v>1</v>
      </c>
      <c r="I7">
        <f>IF(G7 ="Yes",1,0)</f>
        <v>1</v>
      </c>
    </row>
    <row r="8" spans="1:10" x14ac:dyDescent="0.25">
      <c r="E8" s="3" t="s">
        <v>35</v>
      </c>
      <c r="H8">
        <f>SUBTOTAL(9,H6:H7)</f>
        <v>2</v>
      </c>
      <c r="I8">
        <f>SUBTOTAL(9,I6:I7)</f>
        <v>1</v>
      </c>
      <c r="J8" s="1">
        <f>I8/H8</f>
        <v>0.5</v>
      </c>
    </row>
    <row r="9" spans="1:10" x14ac:dyDescent="0.25">
      <c r="A9">
        <v>1010</v>
      </c>
      <c r="B9" t="s">
        <v>7</v>
      </c>
      <c r="C9">
        <v>4</v>
      </c>
      <c r="D9">
        <v>28</v>
      </c>
      <c r="E9">
        <v>2</v>
      </c>
      <c r="F9" t="s">
        <v>8</v>
      </c>
      <c r="G9" t="s">
        <v>9</v>
      </c>
      <c r="H9">
        <v>1</v>
      </c>
      <c r="I9">
        <f>IF(G9 ="Yes",1,0)</f>
        <v>1</v>
      </c>
    </row>
    <row r="10" spans="1:10" x14ac:dyDescent="0.25">
      <c r="A10">
        <v>1004</v>
      </c>
      <c r="B10" t="s">
        <v>11</v>
      </c>
      <c r="C10">
        <v>12</v>
      </c>
      <c r="D10">
        <v>20</v>
      </c>
      <c r="E10">
        <v>2</v>
      </c>
      <c r="F10" t="s">
        <v>8</v>
      </c>
      <c r="G10" t="s">
        <v>9</v>
      </c>
      <c r="H10">
        <v>1</v>
      </c>
      <c r="I10">
        <f>IF(G10 ="Yes",1,0)</f>
        <v>1</v>
      </c>
    </row>
    <row r="11" spans="1:10" x14ac:dyDescent="0.25">
      <c r="E11" s="3" t="s">
        <v>37</v>
      </c>
      <c r="H11">
        <f>SUBTOTAL(9,H9:H10)</f>
        <v>2</v>
      </c>
      <c r="I11">
        <f>SUBTOTAL(9,I9:I10)</f>
        <v>2</v>
      </c>
      <c r="J11" s="1">
        <f>I11/H11</f>
        <v>1</v>
      </c>
    </row>
    <row r="12" spans="1:10" x14ac:dyDescent="0.25">
      <c r="A12">
        <v>1001</v>
      </c>
      <c r="B12" t="s">
        <v>7</v>
      </c>
      <c r="C12">
        <v>2</v>
      </c>
      <c r="D12">
        <v>25</v>
      </c>
      <c r="E12">
        <v>3</v>
      </c>
      <c r="F12" t="s">
        <v>8</v>
      </c>
      <c r="G12" t="s">
        <v>9</v>
      </c>
      <c r="H12">
        <v>1</v>
      </c>
      <c r="I12">
        <f>IF(G12 ="Yes",1,0)</f>
        <v>1</v>
      </c>
    </row>
    <row r="13" spans="1:10" x14ac:dyDescent="0.25">
      <c r="A13">
        <v>1008</v>
      </c>
      <c r="B13" t="s">
        <v>7</v>
      </c>
      <c r="C13">
        <v>3</v>
      </c>
      <c r="D13">
        <v>30</v>
      </c>
      <c r="E13">
        <v>3</v>
      </c>
      <c r="F13" t="s">
        <v>9</v>
      </c>
      <c r="G13" t="s">
        <v>8</v>
      </c>
      <c r="H13">
        <v>1</v>
      </c>
      <c r="I13">
        <f>IF(G13 ="Yes",1,0)</f>
        <v>0</v>
      </c>
    </row>
    <row r="14" spans="1:10" x14ac:dyDescent="0.25">
      <c r="E14" s="3" t="s">
        <v>34</v>
      </c>
      <c r="H14">
        <f>SUBTOTAL(9,H12:H13)</f>
        <v>2</v>
      </c>
      <c r="I14">
        <f>SUBTOTAL(9,I12:I13)</f>
        <v>1</v>
      </c>
      <c r="J14" s="1">
        <f>I14/H14</f>
        <v>0.5</v>
      </c>
    </row>
    <row r="15" spans="1:10" x14ac:dyDescent="0.25">
      <c r="A15">
        <v>1005</v>
      </c>
      <c r="B15" t="s">
        <v>7</v>
      </c>
      <c r="C15">
        <v>1</v>
      </c>
      <c r="D15">
        <v>25</v>
      </c>
      <c r="E15">
        <v>4</v>
      </c>
      <c r="F15" t="s">
        <v>8</v>
      </c>
      <c r="G15" t="s">
        <v>9</v>
      </c>
      <c r="H15">
        <v>1</v>
      </c>
      <c r="I15">
        <f>IF(G15 ="Yes",1,0)</f>
        <v>1</v>
      </c>
    </row>
    <row r="16" spans="1:10" x14ac:dyDescent="0.25">
      <c r="E16" s="3" t="s">
        <v>36</v>
      </c>
      <c r="H16">
        <f>SUBTOTAL(9,H15:H15)</f>
        <v>1</v>
      </c>
      <c r="I16">
        <f>SUBTOTAL(9,I15:I15)</f>
        <v>1</v>
      </c>
      <c r="J16" s="1">
        <f>I16/H16</f>
        <v>1</v>
      </c>
    </row>
    <row r="17" spans="1:9" x14ac:dyDescent="0.25">
      <c r="E17" s="3" t="s">
        <v>31</v>
      </c>
      <c r="H17">
        <f>SUBTOTAL(9,H2:H15)</f>
        <v>10</v>
      </c>
      <c r="I17">
        <f>SUBTOTAL(9,I2:I15)</f>
        <v>5</v>
      </c>
    </row>
    <row r="20" spans="1:9" x14ac:dyDescent="0.25">
      <c r="A20" s="2" t="s">
        <v>20</v>
      </c>
      <c r="B20" s="1">
        <f>(5/10)</f>
        <v>0.5</v>
      </c>
    </row>
    <row r="21" spans="1:9" x14ac:dyDescent="0.25">
      <c r="A21" t="s">
        <v>39</v>
      </c>
      <c r="B21" s="1">
        <v>0</v>
      </c>
    </row>
    <row r="22" spans="1:9" x14ac:dyDescent="0.25">
      <c r="A22" t="s">
        <v>40</v>
      </c>
      <c r="B22" s="1">
        <v>0.5</v>
      </c>
    </row>
    <row r="23" spans="1:9" x14ac:dyDescent="0.25">
      <c r="A23" t="s">
        <v>41</v>
      </c>
      <c r="B23" s="1">
        <v>1</v>
      </c>
    </row>
    <row r="24" spans="1:9" x14ac:dyDescent="0.25">
      <c r="A24" t="s">
        <v>42</v>
      </c>
      <c r="B24" s="1">
        <v>0.5</v>
      </c>
    </row>
    <row r="25" spans="1:9" x14ac:dyDescent="0.25">
      <c r="A25" t="s">
        <v>43</v>
      </c>
      <c r="B25" s="1">
        <v>1</v>
      </c>
    </row>
  </sheetData>
  <pageMargins left="0.7" right="0.7" top="0.75" bottom="0.75" header="0.3" footer="0.3"/>
  <pageSetup orientation="portrait" r:id="rId1"/>
  <headerFooter>
    <oddFooter>&amp;L_x000D_&amp;1#&amp;"Calibri"&amp;8&amp;K000000 Sensitivity: MTN Group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Pivott</vt:lpstr>
      <vt:lpstr>churn_dataset</vt:lpstr>
      <vt:lpstr>churn_subscription type</vt:lpstr>
      <vt:lpstr>Churn_tenure</vt:lpstr>
      <vt:lpstr>churn_complaints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YUSSUF</dc:creator>
  <cp:lastModifiedBy>DAMILOLA YUSUF</cp:lastModifiedBy>
  <dcterms:created xsi:type="dcterms:W3CDTF">2025-11-20T05:18:24Z</dcterms:created>
  <dcterms:modified xsi:type="dcterms:W3CDTF">2026-09-26T17:56:22Z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ed600f-8faa-4fc6-83f6-65766e528114_Enabled">
    <vt:lpwstr>true</vt:lpwstr>
  </property>
  <property fmtid="{D5CDD505-2E9C-101B-9397-08002B2CF9AE}" pid="3" name="MSIP_Label_34ed600f-8faa-4fc6-83f6-65766e528114_SetDate">
    <vt:lpwstr>2025-11-20T05:18:24Z</vt:lpwstr>
  </property>
  <property fmtid="{D5CDD505-2E9C-101B-9397-08002B2CF9AE}" pid="4" name="MSIP_Label_34ed600f-8faa-4fc6-83f6-65766e528114_Method">
    <vt:lpwstr>Privileged</vt:lpwstr>
  </property>
  <property fmtid="{D5CDD505-2E9C-101B-9397-08002B2CF9AE}" pid="5" name="MSIP_Label_34ed600f-8faa-4fc6-83f6-65766e528114_Name">
    <vt:lpwstr>MTN Group - Internal</vt:lpwstr>
  </property>
  <property fmtid="{D5CDD505-2E9C-101B-9397-08002B2CF9AE}" pid="6" name="MSIP_Label_34ed600f-8faa-4fc6-83f6-65766e528114_SiteId">
    <vt:lpwstr>c9b9cb50-3644-4db4-a267-fa84df2f4ceb</vt:lpwstr>
  </property>
  <property fmtid="{D5CDD505-2E9C-101B-9397-08002B2CF9AE}" pid="7" name="MSIP_Label_34ed600f-8faa-4fc6-83f6-65766e528114_ActionId">
    <vt:lpwstr>d26c59b9-342f-445c-af9d-f76eae9e3ba5</vt:lpwstr>
  </property>
  <property fmtid="{D5CDD505-2E9C-101B-9397-08002B2CF9AE}" pid="8" name="MSIP_Label_34ed600f-8faa-4fc6-83f6-65766e528114_ContentBits">
    <vt:lpwstr>2</vt:lpwstr>
  </property>
  <property fmtid="{D5CDD505-2E9C-101B-9397-08002B2CF9AE}" pid="9" name="MSIP_Label_34ed600f-8faa-4fc6-83f6-65766e528114_Tag">
    <vt:lpwstr>10, 0, 1, 1</vt:lpwstr>
  </property>
</Properties>
</file>